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7500"/>
  </bookViews>
  <sheets>
    <sheet name="Leave" sheetId="4" r:id="rId1"/>
    <sheet name="OT" sheetId="5" r:id="rId2"/>
    <sheet name="Late" sheetId="6" r:id="rId3"/>
    <sheet name="Night" sheetId="7" r:id="rId4"/>
  </sheets>
  <definedNames>
    <definedName name="_xlnm._FilterDatabase" localSheetId="2" hidden="1">Late!$A$2:$AN$334</definedName>
    <definedName name="_xlnm._FilterDatabase" localSheetId="0" hidden="1">Leave!$A$1:$BC$334</definedName>
    <definedName name="_xlnm._FilterDatabase" localSheetId="3" hidden="1">Night!$A$2:$AN$334</definedName>
    <definedName name="_xlnm._FilterDatabase" localSheetId="1" hidden="1">OT!$A$2:$AN$334</definedName>
  </definedNames>
  <calcPr calcId="145621"/>
</workbook>
</file>

<file path=xl/calcChain.xml><?xml version="1.0" encoding="utf-8"?>
<calcChain xmlns="http://schemas.openxmlformats.org/spreadsheetml/2006/main">
  <c r="AM328" i="7" l="1"/>
  <c r="AM195" i="7"/>
  <c r="AM75" i="7"/>
  <c r="AM74" i="7"/>
  <c r="AM222" i="7"/>
  <c r="AM256" i="7"/>
  <c r="AM161" i="7"/>
  <c r="AM295" i="7"/>
  <c r="AM294" i="7"/>
  <c r="AM223" i="7"/>
  <c r="AM293" i="7"/>
  <c r="AM334" i="7"/>
  <c r="AM333" i="7"/>
  <c r="AM332" i="7"/>
  <c r="AM308" i="7"/>
  <c r="AM307" i="7"/>
  <c r="AM279" i="7"/>
  <c r="AM255" i="7"/>
  <c r="AM254" i="7"/>
  <c r="AM319" i="7"/>
  <c r="AM318" i="7"/>
  <c r="AM253" i="7"/>
  <c r="AM292" i="7"/>
  <c r="AM278" i="7"/>
  <c r="AM317" i="7"/>
  <c r="AM316" i="7"/>
  <c r="AM277" i="7"/>
  <c r="AM252" i="7"/>
  <c r="AM251" i="7"/>
  <c r="AM327" i="7"/>
  <c r="AM250" i="7"/>
  <c r="AM221" i="7"/>
  <c r="AM291" i="7"/>
  <c r="AM238" i="7"/>
  <c r="AM326" i="7"/>
  <c r="AM306" i="7"/>
  <c r="AM305" i="7"/>
  <c r="AM220" i="7"/>
  <c r="AM325" i="7"/>
  <c r="AM276" i="7"/>
  <c r="AM304" i="7"/>
  <c r="AM290" i="7"/>
  <c r="AM289" i="7"/>
  <c r="AM219" i="7"/>
  <c r="AM249" i="7"/>
  <c r="AM218" i="7"/>
  <c r="AM303" i="7"/>
  <c r="AM237" i="7"/>
  <c r="AM236" i="7"/>
  <c r="AM235" i="7"/>
  <c r="AM217" i="7"/>
  <c r="AM216" i="7"/>
  <c r="AM302" i="7"/>
  <c r="AM315" i="7"/>
  <c r="AM234" i="7"/>
  <c r="AM248" i="7"/>
  <c r="AM247" i="7"/>
  <c r="AM314" i="7"/>
  <c r="AM288" i="7"/>
  <c r="AM275" i="7"/>
  <c r="AM287" i="7"/>
  <c r="AM215" i="7"/>
  <c r="AM214" i="7"/>
  <c r="AM213" i="7"/>
  <c r="AM274" i="7"/>
  <c r="AM233" i="7"/>
  <c r="AM301" i="7"/>
  <c r="AM212" i="7"/>
  <c r="AM246" i="7"/>
  <c r="AM331" i="7"/>
  <c r="AM330" i="7"/>
  <c r="AM211" i="7"/>
  <c r="AM313" i="7"/>
  <c r="AM210" i="7"/>
  <c r="AM232" i="7"/>
  <c r="AM312" i="7"/>
  <c r="AM286" i="7"/>
  <c r="AM273" i="7"/>
  <c r="AM231" i="7"/>
  <c r="AM300" i="7"/>
  <c r="AM245" i="7"/>
  <c r="AM244" i="7"/>
  <c r="AM243" i="7"/>
  <c r="AM209" i="7"/>
  <c r="AM242" i="7"/>
  <c r="AM230" i="7"/>
  <c r="AM324" i="7"/>
  <c r="AM272" i="7"/>
  <c r="AM299" i="7"/>
  <c r="AM271" i="7"/>
  <c r="AM229" i="7"/>
  <c r="AM228" i="7"/>
  <c r="AM270" i="7"/>
  <c r="AM269" i="7"/>
  <c r="AM268" i="7"/>
  <c r="AM285" i="7"/>
  <c r="AM284" i="7"/>
  <c r="AM241" i="7"/>
  <c r="AM208" i="7"/>
  <c r="AM329" i="7"/>
  <c r="AM283" i="7"/>
  <c r="AM267" i="7"/>
  <c r="AM240" i="7"/>
  <c r="AM282" i="7"/>
  <c r="AM323" i="7"/>
  <c r="AM311" i="7"/>
  <c r="AM207" i="7"/>
  <c r="AM206" i="7"/>
  <c r="AM266" i="7"/>
  <c r="AM205" i="7"/>
  <c r="AM265" i="7"/>
  <c r="AM310" i="7"/>
  <c r="AM264" i="7"/>
  <c r="AM263" i="7"/>
  <c r="AM298" i="7"/>
  <c r="AM227" i="7"/>
  <c r="AM226" i="7"/>
  <c r="AM322" i="7"/>
  <c r="AM321" i="7"/>
  <c r="AM262" i="7"/>
  <c r="AM281" i="7"/>
  <c r="AM320" i="7"/>
  <c r="AM261" i="7"/>
  <c r="AM239" i="7"/>
  <c r="AM260" i="7"/>
  <c r="AM280" i="7"/>
  <c r="AM309" i="7"/>
  <c r="AM225" i="7"/>
  <c r="AM259" i="7"/>
  <c r="AM258" i="7"/>
  <c r="AM204" i="7"/>
  <c r="AM297" i="7"/>
  <c r="AM257" i="7"/>
  <c r="AM224" i="7"/>
  <c r="AM296" i="7"/>
  <c r="AM203" i="7"/>
  <c r="AM202" i="7"/>
  <c r="AM201" i="7"/>
  <c r="AM182" i="7"/>
  <c r="AM9" i="7"/>
  <c r="AM73" i="7"/>
  <c r="AM160" i="7"/>
  <c r="AM159" i="7"/>
  <c r="AM158" i="7"/>
  <c r="AM157" i="7"/>
  <c r="AM194" i="7"/>
  <c r="AM193" i="7"/>
  <c r="AM28" i="7"/>
  <c r="AM181" i="7"/>
  <c r="AM115" i="7"/>
  <c r="AM114" i="7"/>
  <c r="AM72" i="7"/>
  <c r="AM156" i="7"/>
  <c r="AM27" i="7"/>
  <c r="AM71" i="7"/>
  <c r="AM113" i="7"/>
  <c r="AM192" i="7"/>
  <c r="AM112" i="7"/>
  <c r="AM70" i="7"/>
  <c r="AM26" i="7"/>
  <c r="AM180" i="7"/>
  <c r="AM69" i="7"/>
  <c r="AM111" i="7"/>
  <c r="AM8" i="7"/>
  <c r="AM179" i="7"/>
  <c r="AM68" i="7"/>
  <c r="AM191" i="7"/>
  <c r="AM127" i="7"/>
  <c r="AM110" i="7"/>
  <c r="AM48" i="7"/>
  <c r="AM178" i="7"/>
  <c r="AM67" i="7"/>
  <c r="AM25" i="7"/>
  <c r="AM29" i="7"/>
  <c r="AM17" i="7"/>
  <c r="AM7" i="7"/>
  <c r="AM66" i="7"/>
  <c r="AM24" i="7"/>
  <c r="AM122" i="7"/>
  <c r="AM38" i="7"/>
  <c r="AM65" i="7"/>
  <c r="AM177" i="7"/>
  <c r="AM23" i="7"/>
  <c r="AM135" i="7"/>
  <c r="AM16" i="7"/>
  <c r="AM176" i="7"/>
  <c r="AM175" i="7"/>
  <c r="AM37" i="7"/>
  <c r="AM126" i="7"/>
  <c r="AM47" i="7"/>
  <c r="AM109" i="7"/>
  <c r="AM174" i="7"/>
  <c r="AM36" i="7"/>
  <c r="AM125" i="7"/>
  <c r="AM150" i="7"/>
  <c r="AM149" i="7"/>
  <c r="AM173" i="7"/>
  <c r="AM64" i="7"/>
  <c r="AM15" i="7"/>
  <c r="AM22" i="7"/>
  <c r="AM155" i="7"/>
  <c r="AM6" i="7"/>
  <c r="AM21" i="7"/>
  <c r="AM5" i="7"/>
  <c r="AM63" i="7"/>
  <c r="AM62" i="7"/>
  <c r="AM61" i="7"/>
  <c r="AM134" i="7"/>
  <c r="AM35" i="7"/>
  <c r="AM108" i="7"/>
  <c r="AM107" i="7"/>
  <c r="AM46" i="7"/>
  <c r="AM106" i="7"/>
  <c r="AM45" i="7"/>
  <c r="AM44" i="7"/>
  <c r="AM148" i="7"/>
  <c r="AM60" i="7"/>
  <c r="AM121" i="7"/>
  <c r="AM43" i="7"/>
  <c r="AM105" i="7"/>
  <c r="AM59" i="7"/>
  <c r="AM58" i="7"/>
  <c r="AM14" i="7"/>
  <c r="AM133" i="7"/>
  <c r="AM104" i="7"/>
  <c r="AM103" i="7"/>
  <c r="AM102" i="7"/>
  <c r="AM132" i="7"/>
  <c r="AM101" i="7"/>
  <c r="AM100" i="7"/>
  <c r="AM99" i="7"/>
  <c r="AM13" i="7"/>
  <c r="AM98" i="7"/>
  <c r="AM97" i="7"/>
  <c r="AM96" i="7"/>
  <c r="AM12" i="7"/>
  <c r="AM95" i="7"/>
  <c r="AM94" i="7"/>
  <c r="AM200" i="7"/>
  <c r="AM20" i="7"/>
  <c r="AM190" i="7"/>
  <c r="AM124" i="7"/>
  <c r="AM42" i="7"/>
  <c r="AM147" i="7"/>
  <c r="AM154" i="7"/>
  <c r="AM34" i="7"/>
  <c r="AM199" i="7"/>
  <c r="AM189" i="7"/>
  <c r="AM11" i="7"/>
  <c r="AM120" i="7"/>
  <c r="AM153" i="7"/>
  <c r="AM93" i="7"/>
  <c r="AM141" i="7"/>
  <c r="AM57" i="7"/>
  <c r="AM131" i="7"/>
  <c r="AM119" i="7"/>
  <c r="AM56" i="7"/>
  <c r="AM172" i="7"/>
  <c r="AM55" i="7"/>
  <c r="AM188" i="7"/>
  <c r="AM171" i="7"/>
  <c r="AM92" i="7"/>
  <c r="AM54" i="7"/>
  <c r="AM41" i="7"/>
  <c r="AM146" i="7"/>
  <c r="AM187" i="7"/>
  <c r="AM140" i="7"/>
  <c r="AM91" i="7"/>
  <c r="AM19" i="7"/>
  <c r="AM18" i="7"/>
  <c r="AM186" i="7"/>
  <c r="AM185" i="7"/>
  <c r="AM90" i="7"/>
  <c r="AM89" i="7"/>
  <c r="AM152" i="7"/>
  <c r="AM53" i="7"/>
  <c r="AM88" i="7"/>
  <c r="AM184" i="7"/>
  <c r="AM170" i="7"/>
  <c r="AM87" i="7"/>
  <c r="AM151" i="7"/>
  <c r="AM118" i="7"/>
  <c r="AM183" i="7"/>
  <c r="AM86" i="7"/>
  <c r="AM198" i="7"/>
  <c r="AM197" i="7"/>
  <c r="AM52" i="7"/>
  <c r="AM123" i="7"/>
  <c r="AM85" i="7"/>
  <c r="AM139" i="7"/>
  <c r="AM130" i="7"/>
  <c r="AM129" i="7"/>
  <c r="AM128" i="7"/>
  <c r="AM169" i="7"/>
  <c r="AM117" i="7"/>
  <c r="AM168" i="7"/>
  <c r="AM33" i="7"/>
  <c r="AM167" i="7"/>
  <c r="AM40" i="7"/>
  <c r="AM166" i="7"/>
  <c r="AM165" i="7"/>
  <c r="AM116" i="7"/>
  <c r="AM84" i="7"/>
  <c r="AM51" i="7"/>
  <c r="AM83" i="7"/>
  <c r="AM32" i="7"/>
  <c r="AM4" i="7"/>
  <c r="AM10" i="7"/>
  <c r="AM138" i="7"/>
  <c r="AM82" i="7"/>
  <c r="AM39" i="7"/>
  <c r="AM145" i="7"/>
  <c r="AM50" i="7"/>
  <c r="AM81" i="7"/>
  <c r="AM144" i="7"/>
  <c r="AM164" i="7"/>
  <c r="AM80" i="7"/>
  <c r="AM163" i="7"/>
  <c r="AM143" i="7"/>
  <c r="AM137" i="7"/>
  <c r="AM162" i="7"/>
  <c r="AM79" i="7"/>
  <c r="AM78" i="7"/>
  <c r="AM49" i="7"/>
  <c r="AM142" i="7"/>
  <c r="AM3" i="7"/>
  <c r="AM136" i="7"/>
  <c r="AM77" i="7"/>
  <c r="AM76" i="7"/>
  <c r="AM31" i="7"/>
  <c r="AM30" i="7"/>
  <c r="AM196" i="7"/>
  <c r="AM328" i="6"/>
  <c r="AM195" i="6"/>
  <c r="AM75" i="6"/>
  <c r="AM74" i="6"/>
  <c r="AM222" i="6"/>
  <c r="AM256" i="6"/>
  <c r="AM161" i="6"/>
  <c r="AM295" i="6"/>
  <c r="AM294" i="6"/>
  <c r="AM223" i="6"/>
  <c r="AM293" i="6"/>
  <c r="AM334" i="6"/>
  <c r="AM333" i="6"/>
  <c r="AM332" i="6"/>
  <c r="AM308" i="6"/>
  <c r="AM307" i="6"/>
  <c r="AM279" i="6"/>
  <c r="AM255" i="6"/>
  <c r="AM254" i="6"/>
  <c r="AM319" i="6"/>
  <c r="AM318" i="6"/>
  <c r="AM253" i="6"/>
  <c r="AM292" i="6"/>
  <c r="AM278" i="6"/>
  <c r="AM317" i="6"/>
  <c r="AM316" i="6"/>
  <c r="AM277" i="6"/>
  <c r="AM252" i="6"/>
  <c r="AM251" i="6"/>
  <c r="AM327" i="6"/>
  <c r="AM250" i="6"/>
  <c r="AM221" i="6"/>
  <c r="AM291" i="6"/>
  <c r="AM238" i="6"/>
  <c r="AM326" i="6"/>
  <c r="AM306" i="6"/>
  <c r="AM305" i="6"/>
  <c r="AM220" i="6"/>
  <c r="AM325" i="6"/>
  <c r="AM276" i="6"/>
  <c r="AM304" i="6"/>
  <c r="AM290" i="6"/>
  <c r="AM289" i="6"/>
  <c r="AM219" i="6"/>
  <c r="AM249" i="6"/>
  <c r="AM218" i="6"/>
  <c r="AM303" i="6"/>
  <c r="AM237" i="6"/>
  <c r="AM236" i="6"/>
  <c r="AM235" i="6"/>
  <c r="AM217" i="6"/>
  <c r="AM216" i="6"/>
  <c r="AM302" i="6"/>
  <c r="AM315" i="6"/>
  <c r="AM234" i="6"/>
  <c r="AM248" i="6"/>
  <c r="AM247" i="6"/>
  <c r="AM314" i="6"/>
  <c r="AM288" i="6"/>
  <c r="AM275" i="6"/>
  <c r="AM287" i="6"/>
  <c r="AM215" i="6"/>
  <c r="AM214" i="6"/>
  <c r="AM213" i="6"/>
  <c r="AM274" i="6"/>
  <c r="AM233" i="6"/>
  <c r="AM301" i="6"/>
  <c r="AM212" i="6"/>
  <c r="AM246" i="6"/>
  <c r="AM331" i="6"/>
  <c r="AM330" i="6"/>
  <c r="AM211" i="6"/>
  <c r="AM313" i="6"/>
  <c r="AM210" i="6"/>
  <c r="AM232" i="6"/>
  <c r="AM312" i="6"/>
  <c r="AM286" i="6"/>
  <c r="AM273" i="6"/>
  <c r="AM231" i="6"/>
  <c r="AM300" i="6"/>
  <c r="AM245" i="6"/>
  <c r="AM244" i="6"/>
  <c r="AM243" i="6"/>
  <c r="AM209" i="6"/>
  <c r="AM242" i="6"/>
  <c r="AM230" i="6"/>
  <c r="AM324" i="6"/>
  <c r="AM272" i="6"/>
  <c r="AM299" i="6"/>
  <c r="AM271" i="6"/>
  <c r="AM229" i="6"/>
  <c r="AM228" i="6"/>
  <c r="AM270" i="6"/>
  <c r="AM269" i="6"/>
  <c r="AM268" i="6"/>
  <c r="AM285" i="6"/>
  <c r="AM284" i="6"/>
  <c r="AM241" i="6"/>
  <c r="AM208" i="6"/>
  <c r="AM329" i="6"/>
  <c r="AM283" i="6"/>
  <c r="AM267" i="6"/>
  <c r="AM240" i="6"/>
  <c r="AM282" i="6"/>
  <c r="AM323" i="6"/>
  <c r="AM311" i="6"/>
  <c r="AM207" i="6"/>
  <c r="AM206" i="6"/>
  <c r="AM266" i="6"/>
  <c r="AM205" i="6"/>
  <c r="AM265" i="6"/>
  <c r="AM310" i="6"/>
  <c r="AM264" i="6"/>
  <c r="AM263" i="6"/>
  <c r="AM298" i="6"/>
  <c r="AM227" i="6"/>
  <c r="AM226" i="6"/>
  <c r="AM322" i="6"/>
  <c r="AM321" i="6"/>
  <c r="AM262" i="6"/>
  <c r="AM281" i="6"/>
  <c r="AM320" i="6"/>
  <c r="AM261" i="6"/>
  <c r="AM239" i="6"/>
  <c r="AM260" i="6"/>
  <c r="AM280" i="6"/>
  <c r="AM309" i="6"/>
  <c r="AM225" i="6"/>
  <c r="AM259" i="6"/>
  <c r="AM258" i="6"/>
  <c r="AM204" i="6"/>
  <c r="AM297" i="6"/>
  <c r="AM257" i="6"/>
  <c r="AM224" i="6"/>
  <c r="AM296" i="6"/>
  <c r="AM203" i="6"/>
  <c r="AM202" i="6"/>
  <c r="AM201" i="6"/>
  <c r="AM182" i="6"/>
  <c r="AM9" i="6"/>
  <c r="AM73" i="6"/>
  <c r="AM160" i="6"/>
  <c r="AM159" i="6"/>
  <c r="AM158" i="6"/>
  <c r="AM157" i="6"/>
  <c r="AM194" i="6"/>
  <c r="AM193" i="6"/>
  <c r="AM28" i="6"/>
  <c r="AM181" i="6"/>
  <c r="AM115" i="6"/>
  <c r="AM114" i="6"/>
  <c r="AM72" i="6"/>
  <c r="AM156" i="6"/>
  <c r="AM27" i="6"/>
  <c r="AM71" i="6"/>
  <c r="AM113" i="6"/>
  <c r="AM192" i="6"/>
  <c r="AM112" i="6"/>
  <c r="AM70" i="6"/>
  <c r="AM26" i="6"/>
  <c r="AM180" i="6"/>
  <c r="AM69" i="6"/>
  <c r="AM111" i="6"/>
  <c r="AM8" i="6"/>
  <c r="AM179" i="6"/>
  <c r="AM68" i="6"/>
  <c r="AM191" i="6"/>
  <c r="AM127" i="6"/>
  <c r="AM110" i="6"/>
  <c r="AM48" i="6"/>
  <c r="AM178" i="6"/>
  <c r="AM67" i="6"/>
  <c r="AM25" i="6"/>
  <c r="AM29" i="6"/>
  <c r="AM17" i="6"/>
  <c r="AM7" i="6"/>
  <c r="AM66" i="6"/>
  <c r="AM24" i="6"/>
  <c r="AM122" i="6"/>
  <c r="AM38" i="6"/>
  <c r="AM65" i="6"/>
  <c r="AM177" i="6"/>
  <c r="AM23" i="6"/>
  <c r="AM135" i="6"/>
  <c r="AM16" i="6"/>
  <c r="AM176" i="6"/>
  <c r="AM175" i="6"/>
  <c r="AM37" i="6"/>
  <c r="AM126" i="6"/>
  <c r="AM47" i="6"/>
  <c r="AM109" i="6"/>
  <c r="AM174" i="6"/>
  <c r="AM36" i="6"/>
  <c r="AM125" i="6"/>
  <c r="AM150" i="6"/>
  <c r="AM149" i="6"/>
  <c r="AM173" i="6"/>
  <c r="AM64" i="6"/>
  <c r="AM15" i="6"/>
  <c r="AM22" i="6"/>
  <c r="AM155" i="6"/>
  <c r="AM6" i="6"/>
  <c r="AM21" i="6"/>
  <c r="AM5" i="6"/>
  <c r="AM63" i="6"/>
  <c r="AM62" i="6"/>
  <c r="AM61" i="6"/>
  <c r="AM134" i="6"/>
  <c r="AM35" i="6"/>
  <c r="AM108" i="6"/>
  <c r="AM107" i="6"/>
  <c r="AM46" i="6"/>
  <c r="AM106" i="6"/>
  <c r="AM45" i="6"/>
  <c r="AM44" i="6"/>
  <c r="AM148" i="6"/>
  <c r="AM60" i="6"/>
  <c r="AM121" i="6"/>
  <c r="AM43" i="6"/>
  <c r="AM105" i="6"/>
  <c r="AM59" i="6"/>
  <c r="AM58" i="6"/>
  <c r="AM14" i="6"/>
  <c r="AM133" i="6"/>
  <c r="AM104" i="6"/>
  <c r="AM103" i="6"/>
  <c r="AM102" i="6"/>
  <c r="AM132" i="6"/>
  <c r="AM101" i="6"/>
  <c r="AM100" i="6"/>
  <c r="AM99" i="6"/>
  <c r="AM13" i="6"/>
  <c r="AM98" i="6"/>
  <c r="AM97" i="6"/>
  <c r="AM96" i="6"/>
  <c r="AM12" i="6"/>
  <c r="AM95" i="6"/>
  <c r="AM94" i="6"/>
  <c r="AM200" i="6"/>
  <c r="AM20" i="6"/>
  <c r="AM190" i="6"/>
  <c r="AM124" i="6"/>
  <c r="AM42" i="6"/>
  <c r="AM147" i="6"/>
  <c r="AM154" i="6"/>
  <c r="AM34" i="6"/>
  <c r="AM199" i="6"/>
  <c r="AM189" i="6"/>
  <c r="AM11" i="6"/>
  <c r="AM120" i="6"/>
  <c r="AM153" i="6"/>
  <c r="AM93" i="6"/>
  <c r="AM141" i="6"/>
  <c r="AM57" i="6"/>
  <c r="AM131" i="6"/>
  <c r="AM119" i="6"/>
  <c r="AM56" i="6"/>
  <c r="AM172" i="6"/>
  <c r="AM55" i="6"/>
  <c r="AM188" i="6"/>
  <c r="AM171" i="6"/>
  <c r="AM92" i="6"/>
  <c r="AM54" i="6"/>
  <c r="AM41" i="6"/>
  <c r="AM146" i="6"/>
  <c r="AM187" i="6"/>
  <c r="AM140" i="6"/>
  <c r="AM91" i="6"/>
  <c r="AM19" i="6"/>
  <c r="AM18" i="6"/>
  <c r="AM186" i="6"/>
  <c r="AM185" i="6"/>
  <c r="AM90" i="6"/>
  <c r="AM89" i="6"/>
  <c r="AM152" i="6"/>
  <c r="AM53" i="6"/>
  <c r="AM88" i="6"/>
  <c r="AM184" i="6"/>
  <c r="AM170" i="6"/>
  <c r="AM87" i="6"/>
  <c r="AM151" i="6"/>
  <c r="AM118" i="6"/>
  <c r="AM183" i="6"/>
  <c r="AM86" i="6"/>
  <c r="AM198" i="6"/>
  <c r="AM197" i="6"/>
  <c r="AM52" i="6"/>
  <c r="AM123" i="6"/>
  <c r="AM85" i="6"/>
  <c r="AM139" i="6"/>
  <c r="AM130" i="6"/>
  <c r="AM129" i="6"/>
  <c r="AM128" i="6"/>
  <c r="AM169" i="6"/>
  <c r="AM117" i="6"/>
  <c r="AM168" i="6"/>
  <c r="AM33" i="6"/>
  <c r="AM167" i="6"/>
  <c r="AM40" i="6"/>
  <c r="AM166" i="6"/>
  <c r="AM165" i="6"/>
  <c r="AM116" i="6"/>
  <c r="AM84" i="6"/>
  <c r="AM51" i="6"/>
  <c r="AM83" i="6"/>
  <c r="AM32" i="6"/>
  <c r="AM4" i="6"/>
  <c r="AM10" i="6"/>
  <c r="AM138" i="6"/>
  <c r="AM82" i="6"/>
  <c r="AM39" i="6"/>
  <c r="AM145" i="6"/>
  <c r="AM50" i="6"/>
  <c r="AM81" i="6"/>
  <c r="AM144" i="6"/>
  <c r="AM164" i="6"/>
  <c r="AM80" i="6"/>
  <c r="AM163" i="6"/>
  <c r="AM143" i="6"/>
  <c r="AM137" i="6"/>
  <c r="AM162" i="6"/>
  <c r="AM79" i="6"/>
  <c r="AM78" i="6"/>
  <c r="AM49" i="6"/>
  <c r="AM142" i="6"/>
  <c r="AM3" i="6"/>
  <c r="AM136" i="6"/>
  <c r="AM77" i="6"/>
  <c r="AM76" i="6"/>
  <c r="AM31" i="6"/>
  <c r="AM30" i="6"/>
  <c r="AM196" i="6"/>
  <c r="AM328" i="5"/>
  <c r="AM195" i="5"/>
  <c r="AM75" i="5"/>
  <c r="AM74" i="5"/>
  <c r="AM223" i="5"/>
  <c r="AM256" i="5"/>
  <c r="AM161" i="5"/>
  <c r="AM295" i="5"/>
  <c r="AM294" i="5"/>
  <c r="AM222" i="5"/>
  <c r="AM293" i="5"/>
  <c r="AM334" i="5"/>
  <c r="AM333" i="5"/>
  <c r="AM332" i="5"/>
  <c r="AM308" i="5"/>
  <c r="AM307" i="5"/>
  <c r="AM279" i="5"/>
  <c r="AM255" i="5"/>
  <c r="AM254" i="5"/>
  <c r="AM319" i="5"/>
  <c r="AM318" i="5"/>
  <c r="AM253" i="5"/>
  <c r="AM292" i="5"/>
  <c r="AM278" i="5"/>
  <c r="AM317" i="5"/>
  <c r="AM316" i="5"/>
  <c r="AM277" i="5"/>
  <c r="AM252" i="5"/>
  <c r="AM251" i="5"/>
  <c r="AM327" i="5"/>
  <c r="AM250" i="5"/>
  <c r="AM221" i="5"/>
  <c r="AM291" i="5"/>
  <c r="AM238" i="5"/>
  <c r="AM326" i="5"/>
  <c r="AM306" i="5"/>
  <c r="AM305" i="5"/>
  <c r="AM220" i="5"/>
  <c r="AM325" i="5"/>
  <c r="AM276" i="5"/>
  <c r="AM304" i="5"/>
  <c r="AM290" i="5"/>
  <c r="AM289" i="5"/>
  <c r="AM219" i="5"/>
  <c r="AM249" i="5"/>
  <c r="AM218" i="5"/>
  <c r="AM303" i="5"/>
  <c r="AM237" i="5"/>
  <c r="AM236" i="5"/>
  <c r="AM235" i="5"/>
  <c r="AM217" i="5"/>
  <c r="AM216" i="5"/>
  <c r="AM302" i="5"/>
  <c r="AM315" i="5"/>
  <c r="AM234" i="5"/>
  <c r="AM248" i="5"/>
  <c r="AM247" i="5"/>
  <c r="AM314" i="5"/>
  <c r="AM288" i="5"/>
  <c r="AM275" i="5"/>
  <c r="AM287" i="5"/>
  <c r="AM215" i="5"/>
  <c r="AM214" i="5"/>
  <c r="AM213" i="5"/>
  <c r="AM274" i="5"/>
  <c r="AM233" i="5"/>
  <c r="AM301" i="5"/>
  <c r="AM212" i="5"/>
  <c r="AM246" i="5"/>
  <c r="AM331" i="5"/>
  <c r="AM330" i="5"/>
  <c r="AM211" i="5"/>
  <c r="AM313" i="5"/>
  <c r="AM210" i="5"/>
  <c r="AM232" i="5"/>
  <c r="AM312" i="5"/>
  <c r="AM286" i="5"/>
  <c r="AM273" i="5"/>
  <c r="AM231" i="5"/>
  <c r="AM300" i="5"/>
  <c r="AM245" i="5"/>
  <c r="AM244" i="5"/>
  <c r="AM243" i="5"/>
  <c r="AM209" i="5"/>
  <c r="AM242" i="5"/>
  <c r="AM230" i="5"/>
  <c r="AM324" i="5"/>
  <c r="AM272" i="5"/>
  <c r="AM299" i="5"/>
  <c r="AM271" i="5"/>
  <c r="AM229" i="5"/>
  <c r="AM228" i="5"/>
  <c r="AM270" i="5"/>
  <c r="AM269" i="5"/>
  <c r="AM268" i="5"/>
  <c r="AM285" i="5"/>
  <c r="AM284" i="5"/>
  <c r="AM241" i="5"/>
  <c r="AM208" i="5"/>
  <c r="AM329" i="5"/>
  <c r="AM283" i="5"/>
  <c r="AM267" i="5"/>
  <c r="AM240" i="5"/>
  <c r="AM282" i="5"/>
  <c r="AM323" i="5"/>
  <c r="AM311" i="5"/>
  <c r="AM207" i="5"/>
  <c r="AM206" i="5"/>
  <c r="AM266" i="5"/>
  <c r="AM205" i="5"/>
  <c r="AM265" i="5"/>
  <c r="AM310" i="5"/>
  <c r="AM264" i="5"/>
  <c r="AM263" i="5"/>
  <c r="AM298" i="5"/>
  <c r="AM227" i="5"/>
  <c r="AM226" i="5"/>
  <c r="AM322" i="5"/>
  <c r="AM321" i="5"/>
  <c r="AM262" i="5"/>
  <c r="AM281" i="5"/>
  <c r="AM320" i="5"/>
  <c r="AM261" i="5"/>
  <c r="AM239" i="5"/>
  <c r="AM260" i="5"/>
  <c r="AM280" i="5"/>
  <c r="AM309" i="5"/>
  <c r="AM225" i="5"/>
  <c r="AM259" i="5"/>
  <c r="AM258" i="5"/>
  <c r="AM204" i="5"/>
  <c r="AM297" i="5"/>
  <c r="AM257" i="5"/>
  <c r="AM224" i="5"/>
  <c r="AM296" i="5"/>
  <c r="AM203" i="5"/>
  <c r="AM202" i="5"/>
  <c r="AM201" i="5"/>
  <c r="AM182" i="5"/>
  <c r="AM9" i="5"/>
  <c r="AM73" i="5"/>
  <c r="AM160" i="5"/>
  <c r="AM159" i="5"/>
  <c r="AM158" i="5"/>
  <c r="AM157" i="5"/>
  <c r="AM194" i="5"/>
  <c r="AM193" i="5"/>
  <c r="AM28" i="5"/>
  <c r="AM181" i="5"/>
  <c r="AM115" i="5"/>
  <c r="AM114" i="5"/>
  <c r="AM72" i="5"/>
  <c r="AM156" i="5"/>
  <c r="AM27" i="5"/>
  <c r="AM71" i="5"/>
  <c r="AM113" i="5"/>
  <c r="AM192" i="5"/>
  <c r="AM112" i="5"/>
  <c r="AM70" i="5"/>
  <c r="AM26" i="5"/>
  <c r="AM180" i="5"/>
  <c r="AM69" i="5"/>
  <c r="AM111" i="5"/>
  <c r="AM8" i="5"/>
  <c r="AM179" i="5"/>
  <c r="AM68" i="5"/>
  <c r="AM191" i="5"/>
  <c r="AM127" i="5"/>
  <c r="AM110" i="5"/>
  <c r="AM48" i="5"/>
  <c r="AM178" i="5"/>
  <c r="AM67" i="5"/>
  <c r="AM25" i="5"/>
  <c r="AM29" i="5"/>
  <c r="AM17" i="5"/>
  <c r="AM7" i="5"/>
  <c r="AM66" i="5"/>
  <c r="AM24" i="5"/>
  <c r="AM122" i="5"/>
  <c r="AM38" i="5"/>
  <c r="AM65" i="5"/>
  <c r="AM177" i="5"/>
  <c r="AM23" i="5"/>
  <c r="AM135" i="5"/>
  <c r="AM16" i="5"/>
  <c r="AM176" i="5"/>
  <c r="AM175" i="5"/>
  <c r="AM37" i="5"/>
  <c r="AM126" i="5"/>
  <c r="AM47" i="5"/>
  <c r="AM109" i="5"/>
  <c r="AM174" i="5"/>
  <c r="AM36" i="5"/>
  <c r="AM125" i="5"/>
  <c r="AM150" i="5"/>
  <c r="AM149" i="5"/>
  <c r="AM173" i="5"/>
  <c r="AM64" i="5"/>
  <c r="AM15" i="5"/>
  <c r="AM22" i="5"/>
  <c r="AM155" i="5"/>
  <c r="AM6" i="5"/>
  <c r="AM21" i="5"/>
  <c r="AM5" i="5"/>
  <c r="AM63" i="5"/>
  <c r="AM62" i="5"/>
  <c r="AM61" i="5"/>
  <c r="AM134" i="5"/>
  <c r="AM35" i="5"/>
  <c r="AM108" i="5"/>
  <c r="AM107" i="5"/>
  <c r="AM46" i="5"/>
  <c r="AM106" i="5"/>
  <c r="AM45" i="5"/>
  <c r="AM44" i="5"/>
  <c r="AM148" i="5"/>
  <c r="AM60" i="5"/>
  <c r="AM121" i="5"/>
  <c r="AM43" i="5"/>
  <c r="AM105" i="5"/>
  <c r="AM59" i="5"/>
  <c r="AM58" i="5"/>
  <c r="AM14" i="5"/>
  <c r="AM133" i="5"/>
  <c r="AM104" i="5"/>
  <c r="AM103" i="5"/>
  <c r="AM102" i="5"/>
  <c r="AM132" i="5"/>
  <c r="AM101" i="5"/>
  <c r="AM100" i="5"/>
  <c r="AM99" i="5"/>
  <c r="AM13" i="5"/>
  <c r="AM98" i="5"/>
  <c r="AM97" i="5"/>
  <c r="AM96" i="5"/>
  <c r="AM12" i="5"/>
  <c r="AM95" i="5"/>
  <c r="AM94" i="5"/>
  <c r="AM200" i="5"/>
  <c r="AM20" i="5"/>
  <c r="AM190" i="5"/>
  <c r="AM124" i="5"/>
  <c r="AM42" i="5"/>
  <c r="AM147" i="5"/>
  <c r="AM154" i="5"/>
  <c r="AM34" i="5"/>
  <c r="AM199" i="5"/>
  <c r="AM189" i="5"/>
  <c r="AM11" i="5"/>
  <c r="AM120" i="5"/>
  <c r="AM153" i="5"/>
  <c r="AM93" i="5"/>
  <c r="AM141" i="5"/>
  <c r="AM57" i="5"/>
  <c r="AM131" i="5"/>
  <c r="AM119" i="5"/>
  <c r="AM56" i="5"/>
  <c r="AM172" i="5"/>
  <c r="AM55" i="5"/>
  <c r="AM188" i="5"/>
  <c r="AM171" i="5"/>
  <c r="AM92" i="5"/>
  <c r="AM54" i="5"/>
  <c r="AM41" i="5"/>
  <c r="AM146" i="5"/>
  <c r="AM187" i="5"/>
  <c r="AM140" i="5"/>
  <c r="AM91" i="5"/>
  <c r="AM19" i="5"/>
  <c r="AM18" i="5"/>
  <c r="AM186" i="5"/>
  <c r="AM185" i="5"/>
  <c r="AM90" i="5"/>
  <c r="AM89" i="5"/>
  <c r="AM152" i="5"/>
  <c r="AM53" i="5"/>
  <c r="AM88" i="5"/>
  <c r="AM184" i="5"/>
  <c r="AM170" i="5"/>
  <c r="AM87" i="5"/>
  <c r="AM151" i="5"/>
  <c r="AM118" i="5"/>
  <c r="AM183" i="5"/>
  <c r="AM86" i="5"/>
  <c r="AM198" i="5"/>
  <c r="AM197" i="5"/>
  <c r="AM52" i="5"/>
  <c r="AM123" i="5"/>
  <c r="AM85" i="5"/>
  <c r="AM139" i="5"/>
  <c r="AM130" i="5"/>
  <c r="AM129" i="5"/>
  <c r="AM128" i="5"/>
  <c r="AM169" i="5"/>
  <c r="AM117" i="5"/>
  <c r="AM168" i="5"/>
  <c r="AM33" i="5"/>
  <c r="AM167" i="5"/>
  <c r="AM40" i="5"/>
  <c r="AM166" i="5"/>
  <c r="AM165" i="5"/>
  <c r="AM116" i="5"/>
  <c r="AM84" i="5"/>
  <c r="AM51" i="5"/>
  <c r="AM83" i="5"/>
  <c r="AM32" i="5"/>
  <c r="AM4" i="5"/>
  <c r="AM10" i="5"/>
  <c r="AM138" i="5"/>
  <c r="AM82" i="5"/>
  <c r="AM39" i="5"/>
  <c r="AM145" i="5"/>
  <c r="AM50" i="5"/>
  <c r="AM81" i="5"/>
  <c r="AM144" i="5"/>
  <c r="AM164" i="5"/>
  <c r="AM80" i="5"/>
  <c r="AM163" i="5"/>
  <c r="AM143" i="5"/>
  <c r="AM137" i="5"/>
  <c r="AM162" i="5"/>
  <c r="AM79" i="5"/>
  <c r="AM78" i="5"/>
  <c r="AM49" i="5"/>
  <c r="AM142" i="5"/>
  <c r="AM3" i="5"/>
  <c r="AM136" i="5"/>
  <c r="AM77" i="5"/>
  <c r="AM76" i="5"/>
  <c r="AM31" i="5"/>
  <c r="AM30" i="5"/>
  <c r="AM196" i="5"/>
  <c r="BB328" i="4"/>
  <c r="Y328" i="4"/>
  <c r="BB195" i="4"/>
  <c r="Y195" i="4"/>
  <c r="BB75" i="4"/>
  <c r="Y75" i="4"/>
  <c r="BB74" i="4"/>
  <c r="Y74" i="4"/>
  <c r="BB223" i="4"/>
  <c r="Y223" i="4"/>
  <c r="BB256" i="4"/>
  <c r="Y256" i="4"/>
  <c r="BB161" i="4"/>
  <c r="Y161" i="4"/>
  <c r="BB295" i="4"/>
  <c r="Y295" i="4"/>
  <c r="BB294" i="4"/>
  <c r="Y294" i="4"/>
  <c r="BB222" i="4"/>
  <c r="Y222" i="4"/>
  <c r="BB293" i="4"/>
  <c r="Y293" i="4"/>
  <c r="BB334" i="4"/>
  <c r="Y334" i="4"/>
  <c r="BB333" i="4"/>
  <c r="Y333" i="4"/>
  <c r="BB332" i="4"/>
  <c r="Y332" i="4"/>
  <c r="BB308" i="4"/>
  <c r="Y308" i="4"/>
  <c r="BB307" i="4"/>
  <c r="Y307" i="4"/>
  <c r="BB279" i="4"/>
  <c r="Y279" i="4"/>
  <c r="BB255" i="4"/>
  <c r="Y255" i="4"/>
  <c r="BB254" i="4"/>
  <c r="Y254" i="4"/>
  <c r="BB319" i="4"/>
  <c r="Y319" i="4"/>
  <c r="BB318" i="4"/>
  <c r="Y318" i="4"/>
  <c r="BB253" i="4"/>
  <c r="Y253" i="4"/>
  <c r="BB292" i="4"/>
  <c r="Y292" i="4"/>
  <c r="BB278" i="4"/>
  <c r="Y278" i="4"/>
  <c r="BB317" i="4"/>
  <c r="Y317" i="4"/>
  <c r="BB316" i="4"/>
  <c r="Y316" i="4"/>
  <c r="BB277" i="4"/>
  <c r="Y277" i="4"/>
  <c r="BB252" i="4"/>
  <c r="Y252" i="4"/>
  <c r="BB251" i="4"/>
  <c r="Y251" i="4"/>
  <c r="BB327" i="4"/>
  <c r="Y327" i="4"/>
  <c r="BB250" i="4"/>
  <c r="Y250" i="4"/>
  <c r="BB221" i="4"/>
  <c r="Y221" i="4"/>
  <c r="BB291" i="4"/>
  <c r="Y291" i="4"/>
  <c r="BB238" i="4"/>
  <c r="Y238" i="4"/>
  <c r="BB326" i="4"/>
  <c r="Y326" i="4"/>
  <c r="BB306" i="4"/>
  <c r="Y306" i="4"/>
  <c r="BB305" i="4"/>
  <c r="Y305" i="4"/>
  <c r="BB220" i="4"/>
  <c r="Y220" i="4"/>
  <c r="BB325" i="4"/>
  <c r="Y325" i="4"/>
  <c r="BB276" i="4"/>
  <c r="Y276" i="4"/>
  <c r="BB304" i="4"/>
  <c r="Y304" i="4"/>
  <c r="BB290" i="4"/>
  <c r="Y290" i="4"/>
  <c r="BB289" i="4"/>
  <c r="Y289" i="4"/>
  <c r="BB219" i="4"/>
  <c r="Y219" i="4"/>
  <c r="BB249" i="4"/>
  <c r="Y249" i="4"/>
  <c r="BB218" i="4"/>
  <c r="Y218" i="4"/>
  <c r="BB303" i="4"/>
  <c r="Y303" i="4"/>
  <c r="BB237" i="4"/>
  <c r="Y237" i="4"/>
  <c r="BB236" i="4"/>
  <c r="Y236" i="4"/>
  <c r="BB235" i="4"/>
  <c r="Y235" i="4"/>
  <c r="BB217" i="4"/>
  <c r="Y217" i="4"/>
  <c r="BB216" i="4"/>
  <c r="Y216" i="4"/>
  <c r="BB302" i="4"/>
  <c r="Y302" i="4"/>
  <c r="BB315" i="4"/>
  <c r="Y315" i="4"/>
  <c r="BB234" i="4"/>
  <c r="Y234" i="4"/>
  <c r="BB248" i="4"/>
  <c r="Y248" i="4"/>
  <c r="BB247" i="4"/>
  <c r="Y247" i="4"/>
  <c r="BB314" i="4"/>
  <c r="Y314" i="4"/>
  <c r="BB288" i="4"/>
  <c r="Y288" i="4"/>
  <c r="BB275" i="4"/>
  <c r="Y275" i="4"/>
  <c r="BB287" i="4"/>
  <c r="Y287" i="4"/>
  <c r="BB215" i="4"/>
  <c r="Y215" i="4"/>
  <c r="BB214" i="4"/>
  <c r="Y214" i="4"/>
  <c r="BB213" i="4"/>
  <c r="Y213" i="4"/>
  <c r="BB274" i="4"/>
  <c r="Y274" i="4"/>
  <c r="BB233" i="4"/>
  <c r="Y233" i="4"/>
  <c r="BB301" i="4"/>
  <c r="Y301" i="4"/>
  <c r="BB212" i="4"/>
  <c r="Y212" i="4"/>
  <c r="BB246" i="4"/>
  <c r="Y246" i="4"/>
  <c r="BB331" i="4"/>
  <c r="Y331" i="4"/>
  <c r="BB330" i="4"/>
  <c r="Y330" i="4"/>
  <c r="BB211" i="4"/>
  <c r="Y211" i="4"/>
  <c r="BB313" i="4"/>
  <c r="Y313" i="4"/>
  <c r="BB210" i="4"/>
  <c r="Y210" i="4"/>
  <c r="BB232" i="4"/>
  <c r="Y232" i="4"/>
  <c r="BB312" i="4"/>
  <c r="Y312" i="4"/>
  <c r="BB286" i="4"/>
  <c r="Y286" i="4"/>
  <c r="BB273" i="4"/>
  <c r="Y273" i="4"/>
  <c r="BB231" i="4"/>
  <c r="Y231" i="4"/>
  <c r="BB300" i="4"/>
  <c r="Y300" i="4"/>
  <c r="BB245" i="4"/>
  <c r="Y245" i="4"/>
  <c r="BB244" i="4"/>
  <c r="Y244" i="4"/>
  <c r="BB243" i="4"/>
  <c r="Y243" i="4"/>
  <c r="BB209" i="4"/>
  <c r="Y209" i="4"/>
  <c r="BB242" i="4"/>
  <c r="Y242" i="4"/>
  <c r="BB230" i="4"/>
  <c r="Y230" i="4"/>
  <c r="BB324" i="4"/>
  <c r="Y324" i="4"/>
  <c r="BB272" i="4"/>
  <c r="Y272" i="4"/>
  <c r="BB299" i="4"/>
  <c r="Y299" i="4"/>
  <c r="BB271" i="4"/>
  <c r="Y271" i="4"/>
  <c r="BB229" i="4"/>
  <c r="Y229" i="4"/>
  <c r="BB228" i="4"/>
  <c r="Y228" i="4"/>
  <c r="BB270" i="4"/>
  <c r="Y270" i="4"/>
  <c r="BB269" i="4"/>
  <c r="Y269" i="4"/>
  <c r="BB268" i="4"/>
  <c r="Y268" i="4"/>
  <c r="BB285" i="4"/>
  <c r="Y285" i="4"/>
  <c r="BB284" i="4"/>
  <c r="Y284" i="4"/>
  <c r="BB241" i="4"/>
  <c r="Y241" i="4"/>
  <c r="BB208" i="4"/>
  <c r="Y208" i="4"/>
  <c r="BB329" i="4"/>
  <c r="Y329" i="4"/>
  <c r="BB283" i="4"/>
  <c r="Y283" i="4"/>
  <c r="BB267" i="4"/>
  <c r="Y267" i="4"/>
  <c r="BB240" i="4"/>
  <c r="Y240" i="4"/>
  <c r="BB282" i="4"/>
  <c r="Y282" i="4"/>
  <c r="BB323" i="4"/>
  <c r="Y323" i="4"/>
  <c r="BB311" i="4"/>
  <c r="Y311" i="4"/>
  <c r="BB207" i="4"/>
  <c r="Y207" i="4"/>
  <c r="BB206" i="4"/>
  <c r="Y206" i="4"/>
  <c r="BB266" i="4"/>
  <c r="Y266" i="4"/>
  <c r="BB205" i="4"/>
  <c r="Y205" i="4"/>
  <c r="BB265" i="4"/>
  <c r="Y265" i="4"/>
  <c r="BB310" i="4"/>
  <c r="Y310" i="4"/>
  <c r="BB264" i="4"/>
  <c r="Y264" i="4"/>
  <c r="BB263" i="4"/>
  <c r="Y263" i="4"/>
  <c r="BB298" i="4"/>
  <c r="Y298" i="4"/>
  <c r="BB227" i="4"/>
  <c r="Y227" i="4"/>
  <c r="BB226" i="4"/>
  <c r="Y226" i="4"/>
  <c r="BB322" i="4"/>
  <c r="Y322" i="4"/>
  <c r="BB321" i="4"/>
  <c r="Y321" i="4"/>
  <c r="BB262" i="4"/>
  <c r="Y262" i="4"/>
  <c r="BB281" i="4"/>
  <c r="Y281" i="4"/>
  <c r="BB320" i="4"/>
  <c r="Y320" i="4"/>
  <c r="BB261" i="4"/>
  <c r="Y261" i="4"/>
  <c r="BB239" i="4"/>
  <c r="Y239" i="4"/>
  <c r="BB260" i="4"/>
  <c r="Y260" i="4"/>
  <c r="BB280" i="4"/>
  <c r="Y280" i="4"/>
  <c r="BB309" i="4"/>
  <c r="Y309" i="4"/>
  <c r="BB225" i="4"/>
  <c r="Y225" i="4"/>
  <c r="BB259" i="4"/>
  <c r="Y259" i="4"/>
  <c r="BB258" i="4"/>
  <c r="Y258" i="4"/>
  <c r="BB204" i="4"/>
  <c r="Y204" i="4"/>
  <c r="BB297" i="4"/>
  <c r="Y297" i="4"/>
  <c r="BB257" i="4"/>
  <c r="Y257" i="4"/>
  <c r="BB224" i="4"/>
  <c r="Y224" i="4"/>
  <c r="BB296" i="4"/>
  <c r="Y296" i="4"/>
  <c r="BB203" i="4"/>
  <c r="Y203" i="4"/>
  <c r="BB202" i="4"/>
  <c r="Y202" i="4"/>
  <c r="BB201" i="4"/>
  <c r="Y201" i="4"/>
  <c r="BB182" i="4"/>
  <c r="Y182" i="4"/>
  <c r="BB9" i="4"/>
  <c r="Y9" i="4"/>
  <c r="BB73" i="4"/>
  <c r="Y73" i="4"/>
  <c r="BB160" i="4"/>
  <c r="Y160" i="4"/>
  <c r="BB159" i="4"/>
  <c r="Y159" i="4"/>
  <c r="BB158" i="4"/>
  <c r="Y158" i="4"/>
  <c r="BB157" i="4"/>
  <c r="Y157" i="4"/>
  <c r="BB194" i="4"/>
  <c r="Y194" i="4"/>
  <c r="BB193" i="4"/>
  <c r="Y193" i="4"/>
  <c r="BB28" i="4"/>
  <c r="Y28" i="4"/>
  <c r="BB181" i="4"/>
  <c r="Y181" i="4"/>
  <c r="BB115" i="4"/>
  <c r="Y115" i="4"/>
  <c r="BB114" i="4"/>
  <c r="Y114" i="4"/>
  <c r="BB72" i="4"/>
  <c r="Y72" i="4"/>
  <c r="BB156" i="4"/>
  <c r="Y156" i="4"/>
  <c r="BB27" i="4"/>
  <c r="Y27" i="4"/>
  <c r="BB71" i="4"/>
  <c r="Y71" i="4"/>
  <c r="BB113" i="4"/>
  <c r="Y113" i="4"/>
  <c r="BB192" i="4"/>
  <c r="Y192" i="4"/>
  <c r="BB112" i="4"/>
  <c r="Y112" i="4"/>
  <c r="BB70" i="4"/>
  <c r="Y70" i="4"/>
  <c r="BB26" i="4"/>
  <c r="Y26" i="4"/>
  <c r="BB180" i="4"/>
  <c r="Y180" i="4"/>
  <c r="BB69" i="4"/>
  <c r="Y69" i="4"/>
  <c r="BB111" i="4"/>
  <c r="Y111" i="4"/>
  <c r="BB8" i="4"/>
  <c r="Y8" i="4"/>
  <c r="BB179" i="4"/>
  <c r="Y179" i="4"/>
  <c r="BB68" i="4"/>
  <c r="Y68" i="4"/>
  <c r="BB191" i="4"/>
  <c r="Y191" i="4"/>
  <c r="BB127" i="4"/>
  <c r="Y127" i="4"/>
  <c r="BB110" i="4"/>
  <c r="Y110" i="4"/>
  <c r="BB48" i="4"/>
  <c r="Y48" i="4"/>
  <c r="BB178" i="4"/>
  <c r="Y178" i="4"/>
  <c r="BB67" i="4"/>
  <c r="Y67" i="4"/>
  <c r="BB25" i="4"/>
  <c r="Y25" i="4"/>
  <c r="BB29" i="4"/>
  <c r="Y29" i="4"/>
  <c r="BB17" i="4"/>
  <c r="Y17" i="4"/>
  <c r="BB7" i="4"/>
  <c r="Y7" i="4"/>
  <c r="BB66" i="4"/>
  <c r="Y66" i="4"/>
  <c r="BB24" i="4"/>
  <c r="Y24" i="4"/>
  <c r="BB122" i="4"/>
  <c r="Y122" i="4"/>
  <c r="BB38" i="4"/>
  <c r="Y38" i="4"/>
  <c r="BB65" i="4"/>
  <c r="Y65" i="4"/>
  <c r="BB177" i="4"/>
  <c r="Y177" i="4"/>
  <c r="BB23" i="4"/>
  <c r="Y23" i="4"/>
  <c r="BB135" i="4"/>
  <c r="Y135" i="4"/>
  <c r="BB16" i="4"/>
  <c r="Y16" i="4"/>
  <c r="BB176" i="4"/>
  <c r="Y176" i="4"/>
  <c r="BB175" i="4"/>
  <c r="Y175" i="4"/>
  <c r="BB37" i="4"/>
  <c r="Y37" i="4"/>
  <c r="BB126" i="4"/>
  <c r="Y126" i="4"/>
  <c r="BB47" i="4"/>
  <c r="Y47" i="4"/>
  <c r="BB109" i="4"/>
  <c r="Y109" i="4"/>
  <c r="BB174" i="4"/>
  <c r="Y174" i="4"/>
  <c r="BB36" i="4"/>
  <c r="Y36" i="4"/>
  <c r="BB125" i="4"/>
  <c r="Y125" i="4"/>
  <c r="BB150" i="4"/>
  <c r="Y150" i="4"/>
  <c r="BB149" i="4"/>
  <c r="Y149" i="4"/>
  <c r="BB173" i="4"/>
  <c r="Y173" i="4"/>
  <c r="BB64" i="4"/>
  <c r="Y64" i="4"/>
  <c r="BB15" i="4"/>
  <c r="Y15" i="4"/>
  <c r="BB22" i="4"/>
  <c r="Y22" i="4"/>
  <c r="BB155" i="4"/>
  <c r="Y155" i="4"/>
  <c r="BB6" i="4"/>
  <c r="Y6" i="4"/>
  <c r="BB21" i="4"/>
  <c r="Y21" i="4"/>
  <c r="BB5" i="4"/>
  <c r="Y5" i="4"/>
  <c r="BB63" i="4"/>
  <c r="Y63" i="4"/>
  <c r="BB62" i="4"/>
  <c r="Y62" i="4"/>
  <c r="BB61" i="4"/>
  <c r="Y61" i="4"/>
  <c r="BB134" i="4"/>
  <c r="Y134" i="4"/>
  <c r="BB35" i="4"/>
  <c r="Y35" i="4"/>
  <c r="BB108" i="4"/>
  <c r="Y108" i="4"/>
  <c r="BB107" i="4"/>
  <c r="Y107" i="4"/>
  <c r="BB46" i="4"/>
  <c r="Y46" i="4"/>
  <c r="BB106" i="4"/>
  <c r="Y106" i="4"/>
  <c r="BB45" i="4"/>
  <c r="Y45" i="4"/>
  <c r="BB44" i="4"/>
  <c r="Y44" i="4"/>
  <c r="BB148" i="4"/>
  <c r="Y148" i="4"/>
  <c r="BB60" i="4"/>
  <c r="Y60" i="4"/>
  <c r="BB121" i="4"/>
  <c r="Y121" i="4"/>
  <c r="BB43" i="4"/>
  <c r="Y43" i="4"/>
  <c r="BB105" i="4"/>
  <c r="Y105" i="4"/>
  <c r="BB59" i="4"/>
  <c r="Y59" i="4"/>
  <c r="BB58" i="4"/>
  <c r="Y58" i="4"/>
  <c r="BB14" i="4"/>
  <c r="Y14" i="4"/>
  <c r="BB133" i="4"/>
  <c r="Y133" i="4"/>
  <c r="BB104" i="4"/>
  <c r="Y104" i="4"/>
  <c r="BB103" i="4"/>
  <c r="Y103" i="4"/>
  <c r="BB102" i="4"/>
  <c r="Y102" i="4"/>
  <c r="BB132" i="4"/>
  <c r="Y132" i="4"/>
  <c r="BB101" i="4"/>
  <c r="Y101" i="4"/>
  <c r="BB100" i="4"/>
  <c r="Y100" i="4"/>
  <c r="BB99" i="4"/>
  <c r="Y99" i="4"/>
  <c r="BB13" i="4"/>
  <c r="Y13" i="4"/>
  <c r="BB98" i="4"/>
  <c r="Y98" i="4"/>
  <c r="BB97" i="4"/>
  <c r="Y97" i="4"/>
  <c r="BB96" i="4"/>
  <c r="Y96" i="4"/>
  <c r="BB12" i="4"/>
  <c r="Y12" i="4"/>
  <c r="BB95" i="4"/>
  <c r="Y95" i="4"/>
  <c r="BB94" i="4"/>
  <c r="Y94" i="4"/>
  <c r="BB200" i="4"/>
  <c r="Y200" i="4"/>
  <c r="BB20" i="4"/>
  <c r="Y20" i="4"/>
  <c r="BB190" i="4"/>
  <c r="Y190" i="4"/>
  <c r="BB124" i="4"/>
  <c r="Y124" i="4"/>
  <c r="BB42" i="4"/>
  <c r="Y42" i="4"/>
  <c r="BB147" i="4"/>
  <c r="Y147" i="4"/>
  <c r="BB154" i="4"/>
  <c r="Y154" i="4"/>
  <c r="BB34" i="4"/>
  <c r="Y34" i="4"/>
  <c r="BB199" i="4"/>
  <c r="Y199" i="4"/>
  <c r="BB189" i="4"/>
  <c r="Y189" i="4"/>
  <c r="BB11" i="4"/>
  <c r="Y11" i="4"/>
  <c r="BB120" i="4"/>
  <c r="Y120" i="4"/>
  <c r="BB153" i="4"/>
  <c r="Y153" i="4"/>
  <c r="BB93" i="4"/>
  <c r="Y93" i="4"/>
  <c r="BB141" i="4"/>
  <c r="Y141" i="4"/>
  <c r="BB57" i="4"/>
  <c r="Y57" i="4"/>
  <c r="BB131" i="4"/>
  <c r="Y131" i="4"/>
  <c r="BB119" i="4"/>
  <c r="Y119" i="4"/>
  <c r="BB56" i="4"/>
  <c r="Y56" i="4"/>
  <c r="BB172" i="4"/>
  <c r="Y172" i="4"/>
  <c r="BB55" i="4"/>
  <c r="Y55" i="4"/>
  <c r="BB188" i="4"/>
  <c r="Y188" i="4"/>
  <c r="BB171" i="4"/>
  <c r="Y171" i="4"/>
  <c r="BB92" i="4"/>
  <c r="Y92" i="4"/>
  <c r="BB54" i="4"/>
  <c r="Y54" i="4"/>
  <c r="BB41" i="4"/>
  <c r="Y41" i="4"/>
  <c r="BB146" i="4"/>
  <c r="Y146" i="4"/>
  <c r="BB187" i="4"/>
  <c r="Y187" i="4"/>
  <c r="BB140" i="4"/>
  <c r="Y140" i="4"/>
  <c r="BB91" i="4"/>
  <c r="Y91" i="4"/>
  <c r="BB19" i="4"/>
  <c r="Y19" i="4"/>
  <c r="BB18" i="4"/>
  <c r="Y18" i="4"/>
  <c r="BB186" i="4"/>
  <c r="Y186" i="4"/>
  <c r="BB185" i="4"/>
  <c r="Y185" i="4"/>
  <c r="BB90" i="4"/>
  <c r="Y90" i="4"/>
  <c r="BB89" i="4"/>
  <c r="Y89" i="4"/>
  <c r="BB152" i="4"/>
  <c r="Y152" i="4"/>
  <c r="BB53" i="4"/>
  <c r="Y53" i="4"/>
  <c r="BB88" i="4"/>
  <c r="Y88" i="4"/>
  <c r="BB184" i="4"/>
  <c r="Y184" i="4"/>
  <c r="BB170" i="4"/>
  <c r="Y170" i="4"/>
  <c r="BB87" i="4"/>
  <c r="Y87" i="4"/>
  <c r="BB151" i="4"/>
  <c r="Y151" i="4"/>
  <c r="BB118" i="4"/>
  <c r="Y118" i="4"/>
  <c r="BB183" i="4"/>
  <c r="Y183" i="4"/>
  <c r="BB86" i="4"/>
  <c r="Y86" i="4"/>
  <c r="BB198" i="4"/>
  <c r="Y198" i="4"/>
  <c r="BB197" i="4"/>
  <c r="Y197" i="4"/>
  <c r="BB52" i="4"/>
  <c r="Y52" i="4"/>
  <c r="BB123" i="4"/>
  <c r="Y123" i="4"/>
  <c r="BB85" i="4"/>
  <c r="Y85" i="4"/>
  <c r="BB139" i="4"/>
  <c r="Y139" i="4"/>
  <c r="BB130" i="4"/>
  <c r="Y130" i="4"/>
  <c r="BB129" i="4"/>
  <c r="Y129" i="4"/>
  <c r="BB128" i="4"/>
  <c r="Y128" i="4"/>
  <c r="BB169" i="4"/>
  <c r="Y169" i="4"/>
  <c r="BB117" i="4"/>
  <c r="Y117" i="4"/>
  <c r="BB168" i="4"/>
  <c r="Y168" i="4"/>
  <c r="BB33" i="4"/>
  <c r="Y33" i="4"/>
  <c r="BB167" i="4"/>
  <c r="Y167" i="4"/>
  <c r="BB40" i="4"/>
  <c r="Y40" i="4"/>
  <c r="BB166" i="4"/>
  <c r="Y166" i="4"/>
  <c r="BB165" i="4"/>
  <c r="Y165" i="4"/>
  <c r="BB116" i="4"/>
  <c r="Y116" i="4"/>
  <c r="BB84" i="4"/>
  <c r="Y84" i="4"/>
  <c r="BB51" i="4"/>
  <c r="Y51" i="4"/>
  <c r="BB83" i="4"/>
  <c r="Y83" i="4"/>
  <c r="BB32" i="4"/>
  <c r="Y32" i="4"/>
  <c r="BB4" i="4"/>
  <c r="Y4" i="4"/>
  <c r="BB10" i="4"/>
  <c r="Y10" i="4"/>
  <c r="BB138" i="4"/>
  <c r="Y138" i="4"/>
  <c r="BB82" i="4"/>
  <c r="Y82" i="4"/>
  <c r="BB39" i="4"/>
  <c r="Y39" i="4"/>
  <c r="BB145" i="4"/>
  <c r="Y145" i="4"/>
  <c r="BB50" i="4"/>
  <c r="Y50" i="4"/>
  <c r="BB81" i="4"/>
  <c r="Y81" i="4"/>
  <c r="BB144" i="4"/>
  <c r="Y144" i="4"/>
  <c r="BB164" i="4"/>
  <c r="Y164" i="4"/>
  <c r="BB80" i="4"/>
  <c r="Y80" i="4"/>
  <c r="BB163" i="4"/>
  <c r="Y163" i="4"/>
  <c r="BB143" i="4"/>
  <c r="Y143" i="4"/>
  <c r="BB137" i="4"/>
  <c r="Y137" i="4"/>
  <c r="BB162" i="4"/>
  <c r="Y162" i="4"/>
  <c r="BB79" i="4"/>
  <c r="Y79" i="4"/>
  <c r="BB78" i="4"/>
  <c r="Y78" i="4"/>
  <c r="BB49" i="4"/>
  <c r="Y49" i="4"/>
  <c r="BB142" i="4"/>
  <c r="Y142" i="4"/>
  <c r="BB3" i="4"/>
  <c r="Y3" i="4"/>
  <c r="BB136" i="4"/>
  <c r="Y136" i="4"/>
  <c r="BB77" i="4"/>
  <c r="Y77" i="4"/>
  <c r="BB76" i="4"/>
  <c r="Y76" i="4"/>
  <c r="BB31" i="4"/>
  <c r="Y31" i="4"/>
  <c r="BB30" i="4"/>
  <c r="Y30" i="4"/>
  <c r="BB196" i="4"/>
  <c r="Y196" i="4"/>
</calcChain>
</file>

<file path=xl/sharedStrings.xml><?xml version="1.0" encoding="utf-8"?>
<sst xmlns="http://schemas.openxmlformats.org/spreadsheetml/2006/main" count="6829" uniqueCount="433">
  <si>
    <t>No</t>
  </si>
  <si>
    <t>ID No</t>
  </si>
  <si>
    <t>English Name</t>
  </si>
  <si>
    <t>Grade</t>
  </si>
  <si>
    <t>Onboard Date</t>
  </si>
  <si>
    <t>Resign Date</t>
  </si>
  <si>
    <t>Factory</t>
  </si>
  <si>
    <t>Group Code</t>
  </si>
  <si>
    <t>Department</t>
  </si>
  <si>
    <t>Gender</t>
  </si>
  <si>
    <t>Casual</t>
  </si>
  <si>
    <t>Unpaid</t>
  </si>
  <si>
    <t>SSB Sick</t>
  </si>
  <si>
    <t>Sick</t>
  </si>
  <si>
    <t>Earned</t>
  </si>
  <si>
    <t>OG</t>
  </si>
  <si>
    <t>Maternity</t>
  </si>
  <si>
    <t>Paternity</t>
  </si>
  <si>
    <t>Official</t>
  </si>
  <si>
    <t>Paid Injury</t>
  </si>
  <si>
    <t>Unpaid Injury</t>
  </si>
  <si>
    <t>other</t>
  </si>
  <si>
    <t>Business</t>
  </si>
  <si>
    <t>Absent</t>
  </si>
  <si>
    <t>Check</t>
  </si>
  <si>
    <t>Total</t>
  </si>
  <si>
    <t>Sign</t>
  </si>
  <si>
    <t>ေရွာင္</t>
  </si>
  <si>
    <t>လစာမဲ့</t>
  </si>
  <si>
    <t>ေဆးခြင့္
(ဖူလုံေရး)</t>
  </si>
  <si>
    <t>ေဆးခြင့္
(အၿပင္)</t>
  </si>
  <si>
    <t>လုပ္</t>
  </si>
  <si>
    <t>ကိုယ္၀န္</t>
  </si>
  <si>
    <t>မီး</t>
  </si>
  <si>
    <t>ဖခင္</t>
  </si>
  <si>
    <t>ထူး</t>
  </si>
  <si>
    <t>ထိခိုက္ခြင့္</t>
  </si>
  <si>
    <t>လစာမဲ့
ထိခိုက္ခြင့္</t>
  </si>
  <si>
    <t>ခြင့္မဲ့</t>
  </si>
  <si>
    <t>Sun</t>
  </si>
  <si>
    <t>Mon</t>
  </si>
  <si>
    <t>Tue</t>
  </si>
  <si>
    <t>Wed</t>
  </si>
  <si>
    <t>Thu</t>
  </si>
  <si>
    <t>Fri</t>
  </si>
  <si>
    <t>Sat</t>
  </si>
  <si>
    <t>Hol Thu</t>
  </si>
  <si>
    <t>Hol Fri</t>
  </si>
  <si>
    <t>Hol Mon</t>
  </si>
  <si>
    <t>Hol Tue</t>
  </si>
  <si>
    <t>Chit Sapal</t>
  </si>
  <si>
    <t>B13Z00</t>
  </si>
  <si>
    <t>0069</t>
  </si>
  <si>
    <t>H3(D)</t>
  </si>
  <si>
    <t>F</t>
  </si>
  <si>
    <t>Thuya Aung</t>
  </si>
  <si>
    <t>0022</t>
  </si>
  <si>
    <t>Water</t>
  </si>
  <si>
    <t>M</t>
  </si>
  <si>
    <t>Saw Pyae Phyo</t>
  </si>
  <si>
    <t>San San Oo</t>
  </si>
  <si>
    <t>0044</t>
  </si>
  <si>
    <t>D2 Restaurant</t>
  </si>
  <si>
    <t>Aye Myint</t>
  </si>
  <si>
    <t>Hla Hla Myint</t>
  </si>
  <si>
    <t>0048</t>
  </si>
  <si>
    <t xml:space="preserve">F1(D) </t>
  </si>
  <si>
    <t>Hnin Yu Swe</t>
  </si>
  <si>
    <t>0012</t>
  </si>
  <si>
    <t>Finance</t>
  </si>
  <si>
    <t>Win Win Swe</t>
  </si>
  <si>
    <t>0049</t>
  </si>
  <si>
    <t xml:space="preserve">F1(K) </t>
  </si>
  <si>
    <t>Saw David</t>
  </si>
  <si>
    <t>0043</t>
  </si>
  <si>
    <t>General Affairs</t>
  </si>
  <si>
    <t>Myo Min Htwe</t>
  </si>
  <si>
    <t>Yin Yin Aye</t>
  </si>
  <si>
    <t>0067</t>
  </si>
  <si>
    <t xml:space="preserve">Security </t>
  </si>
  <si>
    <t>Shwe Tin</t>
  </si>
  <si>
    <t>Khin San Win</t>
  </si>
  <si>
    <t>Aye Aye Tint</t>
  </si>
  <si>
    <t>Myint Myint Yi</t>
  </si>
  <si>
    <t>San Nyunt Si</t>
  </si>
  <si>
    <t>Naing Naing Maw</t>
  </si>
  <si>
    <t>Aye Aye Thin</t>
  </si>
  <si>
    <t>Wai Yan Phyo</t>
  </si>
  <si>
    <t>Mu Mu Paing</t>
  </si>
  <si>
    <t>Aung Ko Oo</t>
  </si>
  <si>
    <t>0023</t>
  </si>
  <si>
    <t>Electricity</t>
  </si>
  <si>
    <t>Ni Ni Tun</t>
  </si>
  <si>
    <t>Mi Mi Hlaing</t>
  </si>
  <si>
    <t>Aung Thet Paing Oo</t>
  </si>
  <si>
    <t>0014</t>
  </si>
  <si>
    <t>IT</t>
  </si>
  <si>
    <t>Yadanar Phyo</t>
  </si>
  <si>
    <t>Chan Min Oo</t>
  </si>
  <si>
    <t>Than Than Maw</t>
  </si>
  <si>
    <t>Naw Khu Sal</t>
  </si>
  <si>
    <t>Win Win Thein</t>
  </si>
  <si>
    <t>Min Min Latt</t>
  </si>
  <si>
    <t>0045</t>
  </si>
  <si>
    <t>Garden</t>
  </si>
  <si>
    <t>Thandar Cho</t>
  </si>
  <si>
    <t>Su Su Maw</t>
  </si>
  <si>
    <t>Min Khaing</t>
  </si>
  <si>
    <t>Tin Tin Mhwe</t>
  </si>
  <si>
    <t>Yar Zar Soe</t>
  </si>
  <si>
    <t>Aye Aye Than</t>
  </si>
  <si>
    <t>Kyaw Naing Oo</t>
  </si>
  <si>
    <t>Mya Mya Win</t>
  </si>
  <si>
    <t>Thet Paing Soe</t>
  </si>
  <si>
    <t>0047</t>
  </si>
  <si>
    <t>Driver</t>
  </si>
  <si>
    <t>Wunna Kyaw</t>
  </si>
  <si>
    <t>Nay Lin Naing</t>
  </si>
  <si>
    <t>Sandar Aye</t>
  </si>
  <si>
    <t>Phyu Phyu Zaw</t>
  </si>
  <si>
    <t>Pwee eel</t>
  </si>
  <si>
    <t>0046</t>
  </si>
  <si>
    <t>Clinic</t>
  </si>
  <si>
    <t>May Yee Than</t>
  </si>
  <si>
    <t>Thandar Moe</t>
  </si>
  <si>
    <t xml:space="preserve">Kyi Kyi Than </t>
  </si>
  <si>
    <t>Win Win Khaing</t>
  </si>
  <si>
    <t>Aung Aung Zaw</t>
  </si>
  <si>
    <t>0068</t>
  </si>
  <si>
    <t>Fire Department</t>
  </si>
  <si>
    <t>Ohnmar</t>
  </si>
  <si>
    <t>Ingyin Swe</t>
  </si>
  <si>
    <t>0061</t>
  </si>
  <si>
    <t>HR</t>
  </si>
  <si>
    <t>Su Su Tin</t>
  </si>
  <si>
    <t>Khaing Htwe</t>
  </si>
  <si>
    <t>Kyaw Min Tun</t>
  </si>
  <si>
    <t>Sandar Win</t>
  </si>
  <si>
    <t>Ohn Mar Myint</t>
  </si>
  <si>
    <t>Phyu Phyu Aung</t>
  </si>
  <si>
    <t>Thin Thin Kyu</t>
  </si>
  <si>
    <t>Khaing Khaing Myint</t>
  </si>
  <si>
    <t>Zin Min Oo</t>
  </si>
  <si>
    <t>Hnin Oo</t>
  </si>
  <si>
    <t>Chit Ei Wai</t>
  </si>
  <si>
    <t>0015</t>
  </si>
  <si>
    <t>Customs Adm.</t>
  </si>
  <si>
    <t>Kay Thwe Zin</t>
  </si>
  <si>
    <t>Swe Zin Oo</t>
  </si>
  <si>
    <t>Aye Mar</t>
  </si>
  <si>
    <t>Nay Linn Kyaw</t>
  </si>
  <si>
    <t>Zaw Htet Linn</t>
  </si>
  <si>
    <t>Pyae Phyo Wai Aung</t>
  </si>
  <si>
    <t>Htay Min</t>
  </si>
  <si>
    <t>Saw Say Doe Warr</t>
  </si>
  <si>
    <t>Ye Win Hlaing</t>
  </si>
  <si>
    <t>Myo Kyaw Thein</t>
  </si>
  <si>
    <t>Hein Zaw Moe</t>
  </si>
  <si>
    <t>Zaw Thura</t>
  </si>
  <si>
    <t>Kyaw Myo Naing</t>
  </si>
  <si>
    <t>Tun Tun</t>
  </si>
  <si>
    <t>Zin Min Thu</t>
  </si>
  <si>
    <t>Kyi Khin</t>
  </si>
  <si>
    <t>Zin Maw Myint</t>
  </si>
  <si>
    <t>Han Min</t>
  </si>
  <si>
    <t>Aung Ko Min</t>
  </si>
  <si>
    <t>Zaw Myo Htet</t>
  </si>
  <si>
    <t>Nyunt Nyunt San</t>
  </si>
  <si>
    <t>Ye Yint Aung</t>
  </si>
  <si>
    <t>Khin Thet Nwe</t>
  </si>
  <si>
    <t>Naw Cho Mar Win</t>
  </si>
  <si>
    <t>Aung Soe Moe</t>
  </si>
  <si>
    <t>Htet Khaing</t>
  </si>
  <si>
    <t>Aye Chan Maung</t>
  </si>
  <si>
    <t>Yunn Me Me Kyaw</t>
  </si>
  <si>
    <t>Pyae Pyae Aung</t>
  </si>
  <si>
    <t>Ye Linn</t>
  </si>
  <si>
    <t>Nyein Lwin Oo</t>
  </si>
  <si>
    <t>Swe Swe Than</t>
  </si>
  <si>
    <t>Zaw Min Htoo</t>
  </si>
  <si>
    <t>Htar Htar Yi</t>
  </si>
  <si>
    <t>Ngwe Naing Tun</t>
  </si>
  <si>
    <t>Mya Mya San</t>
  </si>
  <si>
    <t>Phyu Phyu Win</t>
  </si>
  <si>
    <t>Than Aung Win</t>
  </si>
  <si>
    <t>Phyo Ko Ko</t>
  </si>
  <si>
    <t>Khin Myo Win</t>
  </si>
  <si>
    <t>Hla Min Aung</t>
  </si>
  <si>
    <t>Myo Thidar Win</t>
  </si>
  <si>
    <t>Kaung Thura Tun</t>
  </si>
  <si>
    <t>Saw D Aye Chan</t>
  </si>
  <si>
    <t>Arkar Wai Yan Soe</t>
  </si>
  <si>
    <t>Mu Mu Myint</t>
  </si>
  <si>
    <t>Hlwan Paing</t>
  </si>
  <si>
    <t>Aye Cho Myint</t>
  </si>
  <si>
    <t>Myat Nandar Soe</t>
  </si>
  <si>
    <t>Tin Nilar Win</t>
  </si>
  <si>
    <t>Hein Zaw</t>
  </si>
  <si>
    <t>Win Hlaing Min</t>
  </si>
  <si>
    <t>Myo Min Soe</t>
  </si>
  <si>
    <t>Naing Lin Kyaw</t>
  </si>
  <si>
    <t>Aung Kyaw Naing</t>
  </si>
  <si>
    <t>Zin Nwe Moe</t>
  </si>
  <si>
    <t>Win Mar Soe</t>
  </si>
  <si>
    <t>Aung Hein</t>
  </si>
  <si>
    <t>Aung Thet Oo</t>
  </si>
  <si>
    <t>Aung Myo Naing</t>
  </si>
  <si>
    <t>Phyo Zin Oo</t>
  </si>
  <si>
    <t>Aye Chan May</t>
  </si>
  <si>
    <t>Nyein Thandar Kyaw</t>
  </si>
  <si>
    <t>Yee Ywal Bhone Myat Aung</t>
  </si>
  <si>
    <t>Hsu Chit Wai</t>
  </si>
  <si>
    <t>Thin Kyu Kyu Khaing</t>
  </si>
  <si>
    <t>Nhit Thit Htwe</t>
  </si>
  <si>
    <t>Htet Aung Hlaing</t>
  </si>
  <si>
    <t>Toe Wai Phyo</t>
  </si>
  <si>
    <t>Thet Naing Oo</t>
  </si>
  <si>
    <t>Mar Mar Win</t>
  </si>
  <si>
    <t>Htet Htet</t>
  </si>
  <si>
    <t>Myint Myint Than</t>
  </si>
  <si>
    <t>Naing Thu Zaw</t>
  </si>
  <si>
    <t>Aung Myint Thu</t>
  </si>
  <si>
    <t>Naing Min Htet</t>
  </si>
  <si>
    <t>Ye Lin Htet</t>
  </si>
  <si>
    <t>Aye Sandar Lin</t>
  </si>
  <si>
    <t>Naing Win Htut</t>
  </si>
  <si>
    <t>Aye Aye Myo</t>
  </si>
  <si>
    <t>Than Than Oo</t>
  </si>
  <si>
    <t>Hein Htet Zaw</t>
  </si>
  <si>
    <t>Zaw Myo Myint</t>
  </si>
  <si>
    <t>Thandar Nwe Aung</t>
  </si>
  <si>
    <t>Aung Pyae Sone</t>
  </si>
  <si>
    <t>Aung Phyo Zaw</t>
  </si>
  <si>
    <t>Htet Lin Aung</t>
  </si>
  <si>
    <t>Chan Myae Aung</t>
  </si>
  <si>
    <t>May Myat Noe Khin</t>
  </si>
  <si>
    <t>Aung Zin Ko</t>
  </si>
  <si>
    <t>Moe Thantar Kyaw</t>
  </si>
  <si>
    <t>San Ko Phyo</t>
  </si>
  <si>
    <t>0021</t>
  </si>
  <si>
    <t>Civil</t>
  </si>
  <si>
    <t>Zune Thiri</t>
  </si>
  <si>
    <t>Kaung Htet Kyaw</t>
  </si>
  <si>
    <t>Ei Phyo</t>
  </si>
  <si>
    <t>Thant Zin Aung</t>
  </si>
  <si>
    <t>Aung Htet Ko</t>
  </si>
  <si>
    <t>May Htet Hsu Win</t>
  </si>
  <si>
    <t>Chit Noe Paing</t>
  </si>
  <si>
    <t>Thura Tun</t>
  </si>
  <si>
    <t>Thet Khaing Win</t>
  </si>
  <si>
    <t>Thin Zar Moe</t>
  </si>
  <si>
    <t xml:space="preserve"> Thuya Sitt Naing</t>
  </si>
  <si>
    <t>Lin Myat Thu</t>
  </si>
  <si>
    <t>Win Thant</t>
  </si>
  <si>
    <t>Khin Pyae Pyae Phyo</t>
  </si>
  <si>
    <t>Ei Mon Htwe</t>
  </si>
  <si>
    <t>Zin Mar Hlaing</t>
  </si>
  <si>
    <t>Soe Khant Naing</t>
  </si>
  <si>
    <t>Swan Pyae Aung</t>
  </si>
  <si>
    <t>Saw Sar Thaw</t>
  </si>
  <si>
    <t>Su Po Po Naing</t>
  </si>
  <si>
    <t>New Ni Win</t>
  </si>
  <si>
    <t>Saw Cestro</t>
  </si>
  <si>
    <t>Khin San Moe</t>
  </si>
  <si>
    <t>Nay Ye Lin</t>
  </si>
  <si>
    <t>Aung Thiha Kyaw</t>
  </si>
  <si>
    <t>Shoon Lae Yee Mon</t>
  </si>
  <si>
    <t>Zaw Myo Lwin</t>
  </si>
  <si>
    <t>Kyaw Wai Yan Win</t>
  </si>
  <si>
    <t>May Myat Mon</t>
  </si>
  <si>
    <t>Khwar Nyo Thin</t>
  </si>
  <si>
    <t>Khine Thin</t>
  </si>
  <si>
    <t>Shein Htet Oo</t>
  </si>
  <si>
    <t>May Hnin Oo</t>
  </si>
  <si>
    <t>Ei Thazin Phyo</t>
  </si>
  <si>
    <t>Aye Chan Aung</t>
  </si>
  <si>
    <t>Thu Thu Tun</t>
  </si>
  <si>
    <t>B14Z00</t>
  </si>
  <si>
    <t>A00148</t>
  </si>
  <si>
    <t>GSCM-Strateg</t>
  </si>
  <si>
    <t>Khin Htay Thu</t>
  </si>
  <si>
    <t>A00149</t>
  </si>
  <si>
    <t>GSCM-Asset</t>
  </si>
  <si>
    <t>B15000</t>
  </si>
  <si>
    <t>Aung Naing Tun</t>
  </si>
  <si>
    <t>M0101</t>
  </si>
  <si>
    <t>General Machine</t>
  </si>
  <si>
    <t>Aye Thidar Theint</t>
  </si>
  <si>
    <t>M0600</t>
  </si>
  <si>
    <t>Lab</t>
  </si>
  <si>
    <t>Khin Myo Khaing</t>
  </si>
  <si>
    <t>M0200</t>
  </si>
  <si>
    <t>Planning</t>
  </si>
  <si>
    <t>Su Myat Mon</t>
  </si>
  <si>
    <t>Khin Than Htike</t>
  </si>
  <si>
    <t>M0400</t>
  </si>
  <si>
    <t>Myat Myat Moe</t>
  </si>
  <si>
    <t>Hla Hla Win</t>
  </si>
  <si>
    <t>Aye Nyein Thu</t>
  </si>
  <si>
    <t>Ei Shwe Zin</t>
  </si>
  <si>
    <t>Theingi Aung</t>
  </si>
  <si>
    <t>Shwe Zin Oo</t>
  </si>
  <si>
    <t>Myint Myint Yee</t>
  </si>
  <si>
    <t>M0700</t>
  </si>
  <si>
    <t>SD</t>
  </si>
  <si>
    <t>Hnin Wai Lwin</t>
  </si>
  <si>
    <t>Soe Sandi Win</t>
  </si>
  <si>
    <t>M0500</t>
  </si>
  <si>
    <t>Purchasing</t>
  </si>
  <si>
    <t>Aye Myat Thu</t>
  </si>
  <si>
    <t>Wai Yan Oo</t>
  </si>
  <si>
    <t>M0300</t>
  </si>
  <si>
    <t>CIC/IE/ME</t>
  </si>
  <si>
    <t>Zin Phyo Wai</t>
  </si>
  <si>
    <t>Thinzar Tun</t>
  </si>
  <si>
    <t>M0800</t>
  </si>
  <si>
    <t>Document Control Center</t>
  </si>
  <si>
    <t>May Cherry Soe</t>
  </si>
  <si>
    <t>Justin Shwe Ye Soe</t>
  </si>
  <si>
    <t>Thet Htun</t>
  </si>
  <si>
    <t>Saw Sae Nay Thar</t>
  </si>
  <si>
    <t>Aye Su Khaing</t>
  </si>
  <si>
    <t>Khin May Thu</t>
  </si>
  <si>
    <t>Khin San Oo</t>
  </si>
  <si>
    <t>Khin May Oo</t>
  </si>
  <si>
    <t>Nyein Nyein Htet</t>
  </si>
  <si>
    <t>Thet Thet Soe</t>
  </si>
  <si>
    <t>Zaw  Htet</t>
  </si>
  <si>
    <t>Nyein Chan Aung</t>
  </si>
  <si>
    <t>Thien Aye</t>
  </si>
  <si>
    <t>Hnin Wutt Yee</t>
  </si>
  <si>
    <t>Win Aung</t>
  </si>
  <si>
    <t>Phoo Pwint  Oo</t>
  </si>
  <si>
    <t>Khin Lae Lae Nyein</t>
  </si>
  <si>
    <t>Aye Aye Thwe</t>
  </si>
  <si>
    <t>Thazin Hlaing</t>
  </si>
  <si>
    <t>Hlaing Moe Oo</t>
  </si>
  <si>
    <t>Khaing Thandar Lin</t>
  </si>
  <si>
    <t>Kyu Kyu Thin</t>
  </si>
  <si>
    <t>Han Ni Lin</t>
  </si>
  <si>
    <t>Myat Mon Mon</t>
  </si>
  <si>
    <t>M0900</t>
  </si>
  <si>
    <t xml:space="preserve">Soe Thandar Htay </t>
  </si>
  <si>
    <t>Zin Min Htet</t>
  </si>
  <si>
    <t>Nway Thinzar Myint</t>
  </si>
  <si>
    <t>Khin Cho Win</t>
  </si>
  <si>
    <t>Tin Zar Lin</t>
  </si>
  <si>
    <t>Myat Kaung Htet</t>
  </si>
  <si>
    <t>Ei Myat Mon</t>
  </si>
  <si>
    <t>Si Thu Aung</t>
  </si>
  <si>
    <t>Win Ko Oo</t>
  </si>
  <si>
    <t>Khin Myat Noe</t>
  </si>
  <si>
    <t>Khet Soe Wai</t>
  </si>
  <si>
    <t>Thet Htet Shwe Yi Oo</t>
  </si>
  <si>
    <t>Pyae Phyo Kyaw</t>
  </si>
  <si>
    <t>Khaing Linn Thar</t>
  </si>
  <si>
    <t>Nyein Nyein Phyo</t>
  </si>
  <si>
    <t>Sann Yu Htwe</t>
  </si>
  <si>
    <t>Soe Moe Kyaw</t>
  </si>
  <si>
    <t>Hsu Myat Win</t>
  </si>
  <si>
    <t>Eaindray Kyaw</t>
  </si>
  <si>
    <t>Khaing Phyo Wai</t>
  </si>
  <si>
    <t>Ein Kyin Eaint</t>
  </si>
  <si>
    <t>La Myat Oo</t>
  </si>
  <si>
    <t>Zin Lin Oo</t>
  </si>
  <si>
    <t>Zohn Pwint Phyu</t>
  </si>
  <si>
    <t>Pyae Hlayan Thwe</t>
  </si>
  <si>
    <t>Cherry Tin Win</t>
  </si>
  <si>
    <t>Pyae Phyo Aung</t>
  </si>
  <si>
    <t>Phyo Yadanar Aung</t>
  </si>
  <si>
    <t>Wutt Hmone</t>
  </si>
  <si>
    <t>San Lin Han</t>
  </si>
  <si>
    <t>Yawai Tun</t>
  </si>
  <si>
    <t>Aye Myat Moe</t>
  </si>
  <si>
    <t>Zon Pwint Hlaing</t>
  </si>
  <si>
    <t>Htet Myat Noe Nwe</t>
  </si>
  <si>
    <t>Nyi Nyi Lwin</t>
  </si>
  <si>
    <t>Aung Ko Win</t>
  </si>
  <si>
    <t>Cherry Mon</t>
  </si>
  <si>
    <t>Bhone Myat Hein</t>
  </si>
  <si>
    <t>Ei Shwe Sin</t>
  </si>
  <si>
    <t>Kudae Kyawel</t>
  </si>
  <si>
    <t>Chit Kant Kaw Soe</t>
  </si>
  <si>
    <t>Eaindray Chit Han</t>
  </si>
  <si>
    <t>Wai Zin Htet</t>
  </si>
  <si>
    <t>Htet Paing Phyo</t>
  </si>
  <si>
    <t>Wai Phyo Aung</t>
  </si>
  <si>
    <t>Hsu Myat Noe</t>
  </si>
  <si>
    <t>Thet Htoo Zin</t>
  </si>
  <si>
    <t>Zin Min Khant Kyaw</t>
  </si>
  <si>
    <t>Nay Li n Soe</t>
  </si>
  <si>
    <t>Myo Theingi Aung</t>
  </si>
  <si>
    <t>Hnin Ei Ei Khaing</t>
  </si>
  <si>
    <t>Thiri Swe</t>
  </si>
  <si>
    <t>Kyawt Kyawt Win Ko</t>
  </si>
  <si>
    <t>Han Lin Htet</t>
  </si>
  <si>
    <t>Myat Ko</t>
  </si>
  <si>
    <t>Aye Myint San</t>
  </si>
  <si>
    <t>Ai Kut</t>
  </si>
  <si>
    <t>Thet Wai Yan Phyo</t>
  </si>
  <si>
    <t>Yoon Sandi Oo</t>
  </si>
  <si>
    <t>Naw Kywal Kywal Thein</t>
  </si>
  <si>
    <t>Moe Oo Hlaing</t>
  </si>
  <si>
    <t>Yamin Kalyar</t>
  </si>
  <si>
    <t>Thae Thae Su</t>
  </si>
  <si>
    <t>Thae Su May</t>
  </si>
  <si>
    <t>Zin Myo Win</t>
  </si>
  <si>
    <t>Shwe Sin Tun</t>
  </si>
  <si>
    <t>Kyaw Zin Min</t>
  </si>
  <si>
    <t>Htoo Aung Lin</t>
  </si>
  <si>
    <t>May Thazin Oo</t>
  </si>
  <si>
    <t>Su Myat Htwe</t>
  </si>
  <si>
    <t>Khin Lae Lae Hlaing</t>
  </si>
  <si>
    <t>Khin Myat Mon</t>
  </si>
  <si>
    <t>Cho Nwe Win</t>
  </si>
  <si>
    <t>Cho Zin Thaw</t>
  </si>
  <si>
    <t>Min Khant Ko Ko</t>
  </si>
  <si>
    <t>Kyaw Soe Min</t>
  </si>
  <si>
    <t>Zar Ni Lwin</t>
  </si>
  <si>
    <t>Yu Thinzar Lwin</t>
  </si>
  <si>
    <t>Naing Lin Aung</t>
  </si>
  <si>
    <t>Thandar Han</t>
  </si>
  <si>
    <t>Thant Zin Kyaw</t>
  </si>
  <si>
    <t>Than Htut Zaw</t>
  </si>
  <si>
    <t>Than Yaw Zin Khaing</t>
  </si>
  <si>
    <t>Aung Naing Linn</t>
  </si>
  <si>
    <t>Seint Seint Thu</t>
  </si>
  <si>
    <t>Moe Thwe Win</t>
  </si>
  <si>
    <t>Maung</t>
  </si>
  <si>
    <t>Su Eaindra Aung</t>
  </si>
  <si>
    <t>Hsu Shwe Yee Moe</t>
  </si>
  <si>
    <t>Zaw Ye Naing</t>
  </si>
  <si>
    <t>Htet Htet May 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</si>
</sst>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"/>
  </numFmts>
  <fonts count="7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theme="1"/>
      <name val="Zawgyi-One"/>
    </font>
    <font>
      <sz val="10"/>
      <color rgb="FFFFFFFF"/>
      <name val="Zawgyi-One"/>
    </font>
    <font>
      <sz val="12"/>
      <color indexed="8"/>
      <name val="新細明體"/>
      <family val="2"/>
      <charset val="136"/>
    </font>
    <font>
      <sz val="11"/>
      <name val="Zawgyi-One"/>
      <family val="2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3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6A6A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0" fontId="5" fillId="0" borderId="0">
      <alignment vertical="top"/>
    </xf>
  </cellStyleXfs>
  <cellXfs count="50">
    <xf numFmtId="0" fontId="0" fillId="0" borderId="0" xfId="0"/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49" fontId="0" fillId="15" borderId="1" xfId="0" applyNumberFormat="1" applyFill="1" applyBorder="1" applyAlignment="1">
      <alignment horizontal="center" vertical="center"/>
    </xf>
    <xf numFmtId="0" fontId="0" fillId="15" borderId="1" xfId="0" quotePrefix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49" fontId="0" fillId="16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2 2" xfId="2"/>
  </cellStyles>
  <dxfs count="20">
    <dxf>
      <fill>
        <patternFill>
          <bgColor rgb="FFB7DEE8"/>
        </patternFill>
      </fill>
    </dxf>
    <dxf>
      <fill>
        <patternFill>
          <bgColor rgb="FFDA9694"/>
        </patternFill>
      </fill>
    </dxf>
    <dxf>
      <fill>
        <patternFill>
          <bgColor rgb="FFB7DEE8"/>
        </patternFill>
      </fill>
    </dxf>
    <dxf>
      <fill>
        <patternFill>
          <bgColor rgb="FFDA9694"/>
        </patternFill>
      </fill>
    </dxf>
    <dxf>
      <fill>
        <patternFill>
          <bgColor rgb="FFB7DEE8"/>
        </patternFill>
      </fill>
    </dxf>
    <dxf>
      <fill>
        <patternFill>
          <bgColor rgb="FFDA9694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66CC"/>
        </patternFill>
      </fill>
    </dxf>
    <dxf>
      <fill>
        <patternFill>
          <bgColor rgb="FF00CCFF"/>
        </patternFill>
      </fill>
    </dxf>
    <dxf>
      <fill>
        <patternFill>
          <bgColor rgb="FFFF00FF"/>
        </patternFill>
      </fill>
    </dxf>
    <dxf>
      <font>
        <color rgb="FFFFFFFF"/>
      </font>
      <fill>
        <patternFill>
          <bgColor rgb="FF003366"/>
        </patternFill>
      </fill>
    </dxf>
    <dxf>
      <fill>
        <patternFill>
          <bgColor rgb="FF808000"/>
        </patternFill>
      </fill>
    </dxf>
    <dxf>
      <font>
        <color rgb="FFFFFFFF"/>
      </font>
      <fill>
        <patternFill>
          <bgColor rgb="FFFF99CC"/>
        </patternFill>
      </fill>
    </dxf>
    <dxf>
      <font>
        <color rgb="FFFFFFFF"/>
      </font>
      <fill>
        <patternFill>
          <bgColor rgb="FF800080"/>
        </patternFill>
      </fill>
    </dxf>
    <dxf>
      <font>
        <color rgb="FFFFFFFF"/>
      </font>
      <fill>
        <patternFill>
          <bgColor rgb="FF000080"/>
        </patternFill>
      </fill>
    </dxf>
    <dxf>
      <fill>
        <patternFill>
          <bgColor rgb="FFFF6600"/>
        </patternFill>
      </fill>
    </dxf>
    <dxf>
      <fill>
        <patternFill>
          <bgColor rgb="FF336633"/>
        </patternFill>
      </fill>
    </dxf>
    <dxf>
      <fill>
        <patternFill>
          <bgColor rgb="FFFFFF00"/>
        </patternFill>
      </fill>
    </dxf>
    <dxf>
      <fill>
        <patternFill>
          <bgColor rgb="FFB7DEE8"/>
        </patternFill>
      </fill>
    </dxf>
    <dxf>
      <fill>
        <patternFill>
          <bgColor rgb="FFDA969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C334"/>
  <sheetViews>
    <sheetView tabSelected="1" zoomScaleNormal="100" workbookViewId="0">
      <selection sqref="A1:A2"/>
    </sheetView>
  </sheetViews>
  <sheetFormatPr defaultRowHeight="15"/>
  <cols>
    <col min="1" max="1" width="7.7109375" style="46" customWidth="1"/>
    <col min="2" max="2" width="9.7109375" style="46" customWidth="1"/>
    <col min="3" max="3" width="18.7109375" style="46" customWidth="1"/>
    <col min="4" max="4" width="1.5703125" style="46" customWidth="1"/>
    <col min="5" max="6" width="10.7109375" style="46" customWidth="1"/>
    <col min="7" max="7" width="9.7109375" style="46" customWidth="1"/>
    <col min="8" max="8" width="7.7109375" style="46" customWidth="1"/>
    <col min="9" max="9" width="18.7109375" style="46" customWidth="1"/>
    <col min="10" max="10" width="7.7109375" style="46" customWidth="1"/>
    <col min="11" max="23" width="3.42578125" style="46" customWidth="1"/>
    <col min="24" max="24" width="5.7109375" style="46" customWidth="1"/>
    <col min="25" max="25" width="10.85546875" style="46" bestFit="1" customWidth="1"/>
    <col min="26" max="53" width="6.28515625" customWidth="1"/>
  </cols>
  <sheetData>
    <row r="1" spans="1:55" ht="60.75" customHeight="1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1" t="s">
        <v>10</v>
      </c>
      <c r="L1" s="2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1" t="s">
        <v>22</v>
      </c>
      <c r="X1" s="12" t="s">
        <v>23</v>
      </c>
      <c r="Y1" s="48" t="s">
        <v>24</v>
      </c>
      <c r="Z1" s="13">
        <v>46054</v>
      </c>
      <c r="AA1" s="13">
        <v>46055</v>
      </c>
      <c r="AB1" s="13">
        <v>46056</v>
      </c>
      <c r="AC1" s="13">
        <v>46057</v>
      </c>
      <c r="AD1" s="13">
        <v>46058</v>
      </c>
      <c r="AE1" s="13">
        <v>46059</v>
      </c>
      <c r="AF1" s="13">
        <v>46060</v>
      </c>
      <c r="AG1" s="13">
        <v>46061</v>
      </c>
      <c r="AH1" s="13">
        <v>46062</v>
      </c>
      <c r="AI1" s="13">
        <v>46063</v>
      </c>
      <c r="AJ1" s="13">
        <v>46064</v>
      </c>
      <c r="AK1" s="13">
        <v>46065</v>
      </c>
      <c r="AL1" s="13">
        <v>46066</v>
      </c>
      <c r="AM1" s="13">
        <v>46067</v>
      </c>
      <c r="AN1" s="13">
        <v>46068</v>
      </c>
      <c r="AO1" s="13">
        <v>46069</v>
      </c>
      <c r="AP1" s="13">
        <v>46070</v>
      </c>
      <c r="AQ1" s="13">
        <v>46071</v>
      </c>
      <c r="AR1" s="13">
        <v>46072</v>
      </c>
      <c r="AS1" s="13">
        <v>46073</v>
      </c>
      <c r="AT1" s="13">
        <v>46074</v>
      </c>
      <c r="AU1" s="13">
        <v>46075</v>
      </c>
      <c r="AV1" s="13">
        <v>46076</v>
      </c>
      <c r="AW1" s="13">
        <v>46077</v>
      </c>
      <c r="AX1" s="13">
        <v>46078</v>
      </c>
      <c r="AY1" s="13">
        <v>46079</v>
      </c>
      <c r="AZ1" s="13">
        <v>46080</v>
      </c>
      <c r="BA1" s="13">
        <v>46081</v>
      </c>
      <c r="BB1" s="48" t="s">
        <v>25</v>
      </c>
      <c r="BC1" s="48" t="s">
        <v>26</v>
      </c>
    </row>
    <row r="2" spans="1:55" ht="144">
      <c r="A2" s="49"/>
      <c r="B2" s="49"/>
      <c r="C2" s="49"/>
      <c r="D2" s="49"/>
      <c r="E2" s="49"/>
      <c r="F2" s="49"/>
      <c r="G2" s="49"/>
      <c r="H2" s="49"/>
      <c r="I2" s="49"/>
      <c r="J2" s="49"/>
      <c r="K2" s="14" t="s">
        <v>27</v>
      </c>
      <c r="L2" s="15" t="s">
        <v>28</v>
      </c>
      <c r="M2" s="16" t="s">
        <v>29</v>
      </c>
      <c r="N2" s="16" t="s">
        <v>30</v>
      </c>
      <c r="O2" s="17" t="s">
        <v>31</v>
      </c>
      <c r="P2" s="18" t="s">
        <v>32</v>
      </c>
      <c r="Q2" s="19" t="s">
        <v>33</v>
      </c>
      <c r="R2" s="20" t="s">
        <v>34</v>
      </c>
      <c r="S2" s="21" t="s">
        <v>35</v>
      </c>
      <c r="T2" s="22" t="s">
        <v>36</v>
      </c>
      <c r="U2" s="23" t="s">
        <v>37</v>
      </c>
      <c r="V2" s="24" t="s">
        <v>21</v>
      </c>
      <c r="W2" s="25" t="s">
        <v>22</v>
      </c>
      <c r="X2" s="26" t="s">
        <v>38</v>
      </c>
      <c r="Y2" s="48"/>
      <c r="Z2" s="27" t="s">
        <v>39</v>
      </c>
      <c r="AA2" s="27" t="s">
        <v>40</v>
      </c>
      <c r="AB2" s="27" t="s">
        <v>41</v>
      </c>
      <c r="AC2" s="27" t="s">
        <v>42</v>
      </c>
      <c r="AD2" s="27" t="s">
        <v>43</v>
      </c>
      <c r="AE2" s="27" t="s">
        <v>44</v>
      </c>
      <c r="AF2" s="27" t="s">
        <v>45</v>
      </c>
      <c r="AG2" s="27" t="s">
        <v>39</v>
      </c>
      <c r="AH2" s="27" t="s">
        <v>40</v>
      </c>
      <c r="AI2" s="27" t="s">
        <v>41</v>
      </c>
      <c r="AJ2" s="27" t="s">
        <v>42</v>
      </c>
      <c r="AK2" s="27" t="s">
        <v>46</v>
      </c>
      <c r="AL2" s="27" t="s">
        <v>47</v>
      </c>
      <c r="AM2" s="27" t="s">
        <v>45</v>
      </c>
      <c r="AN2" s="27" t="s">
        <v>39</v>
      </c>
      <c r="AO2" s="27" t="s">
        <v>48</v>
      </c>
      <c r="AP2" s="27" t="s">
        <v>49</v>
      </c>
      <c r="AQ2" s="27" t="s">
        <v>42</v>
      </c>
      <c r="AR2" s="27" t="s">
        <v>43</v>
      </c>
      <c r="AS2" s="27" t="s">
        <v>44</v>
      </c>
      <c r="AT2" s="27" t="s">
        <v>45</v>
      </c>
      <c r="AU2" s="27" t="s">
        <v>39</v>
      </c>
      <c r="AV2" s="27" t="s">
        <v>40</v>
      </c>
      <c r="AW2" s="27" t="s">
        <v>41</v>
      </c>
      <c r="AX2" s="27" t="s">
        <v>42</v>
      </c>
      <c r="AY2" s="27" t="s">
        <v>43</v>
      </c>
      <c r="AZ2" s="27" t="s">
        <v>44</v>
      </c>
      <c r="BA2" s="27" t="s">
        <v>45</v>
      </c>
      <c r="BB2" s="48"/>
      <c r="BC2" s="48"/>
    </row>
    <row r="3" spans="1:55">
      <c r="A3" s="28">
        <v>1</v>
      </c>
      <c r="B3" s="29">
        <v>500016</v>
      </c>
      <c r="C3" s="28" t="s">
        <v>67</v>
      </c>
      <c r="D3" s="28"/>
      <c r="E3" s="28">
        <v>20141104</v>
      </c>
      <c r="F3" s="28"/>
      <c r="G3" s="29" t="s">
        <v>51</v>
      </c>
      <c r="H3" s="30" t="s">
        <v>68</v>
      </c>
      <c r="I3" s="28" t="s">
        <v>69</v>
      </c>
      <c r="J3" s="28" t="s">
        <v>54</v>
      </c>
      <c r="K3" s="28"/>
      <c r="L3" s="28"/>
      <c r="M3" s="28"/>
      <c r="N3" s="28"/>
      <c r="O3" s="28"/>
      <c r="P3" s="28"/>
      <c r="Q3" s="28"/>
      <c r="R3" s="28"/>
      <c r="S3" s="28">
        <v>8</v>
      </c>
      <c r="T3" s="28"/>
      <c r="U3" s="28"/>
      <c r="V3" s="28"/>
      <c r="W3" s="28"/>
      <c r="X3" s="28"/>
      <c r="Y3" s="28" t="b">
        <f t="shared" ref="Y3:Y66" si="0">SUM(K3:X3)=SUM(Z3:BA3)</f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35">
        <v>8</v>
      </c>
      <c r="AT3" s="28"/>
      <c r="AU3" s="28"/>
      <c r="AV3" s="28"/>
      <c r="AW3" s="28"/>
      <c r="AX3" s="28"/>
      <c r="AY3" s="28"/>
      <c r="AZ3" s="28"/>
      <c r="BA3" s="28"/>
      <c r="BB3" s="28">
        <f t="shared" ref="BB3:BB66" si="1">SUM(Z3:BA3)</f>
        <v>8</v>
      </c>
      <c r="BC3" s="28"/>
    </row>
    <row r="4" spans="1:55">
      <c r="A4" s="28">
        <v>2</v>
      </c>
      <c r="B4" s="29">
        <v>500200</v>
      </c>
      <c r="C4" s="28" t="s">
        <v>97</v>
      </c>
      <c r="D4" s="28"/>
      <c r="E4" s="28">
        <v>20151112</v>
      </c>
      <c r="F4" s="28"/>
      <c r="G4" s="29" t="s">
        <v>51</v>
      </c>
      <c r="H4" s="30" t="s">
        <v>68</v>
      </c>
      <c r="I4" s="28" t="s">
        <v>69</v>
      </c>
      <c r="J4" s="28" t="s">
        <v>54</v>
      </c>
      <c r="K4" s="28">
        <v>4</v>
      </c>
      <c r="L4" s="28"/>
      <c r="M4" s="28"/>
      <c r="N4" s="28"/>
      <c r="O4" s="28"/>
      <c r="P4" s="28"/>
      <c r="Q4" s="28"/>
      <c r="R4" s="28"/>
      <c r="S4" s="28">
        <v>16</v>
      </c>
      <c r="T4" s="28"/>
      <c r="U4" s="28"/>
      <c r="V4" s="28"/>
      <c r="W4" s="28"/>
      <c r="X4" s="28"/>
      <c r="Y4" s="28" t="b">
        <f t="shared" si="0"/>
        <v>1</v>
      </c>
      <c r="Z4" s="28"/>
      <c r="AA4" s="28"/>
      <c r="AB4" s="28"/>
      <c r="AC4" s="28"/>
      <c r="AD4" s="28"/>
      <c r="AE4" s="28"/>
      <c r="AF4" s="31">
        <v>4</v>
      </c>
      <c r="AG4" s="28"/>
      <c r="AH4" s="28"/>
      <c r="AI4" s="28"/>
      <c r="AJ4" s="35">
        <v>8</v>
      </c>
      <c r="AK4" s="28"/>
      <c r="AL4" s="28"/>
      <c r="AM4" s="28"/>
      <c r="AN4" s="28"/>
      <c r="AO4" s="28"/>
      <c r="AP4" s="28"/>
      <c r="AQ4" s="28"/>
      <c r="AR4" s="35">
        <v>8</v>
      </c>
      <c r="AS4" s="28"/>
      <c r="AT4" s="28"/>
      <c r="AU4" s="28"/>
      <c r="AV4" s="28"/>
      <c r="AW4" s="28"/>
      <c r="AX4" s="28"/>
      <c r="AY4" s="28"/>
      <c r="AZ4" s="28"/>
      <c r="BA4" s="28"/>
      <c r="BB4" s="28">
        <f t="shared" si="1"/>
        <v>20</v>
      </c>
      <c r="BC4" s="28"/>
    </row>
    <row r="5" spans="1:55">
      <c r="A5" s="28">
        <v>3</v>
      </c>
      <c r="B5" s="29">
        <v>501200</v>
      </c>
      <c r="C5" s="28" t="s">
        <v>209</v>
      </c>
      <c r="D5" s="28"/>
      <c r="E5" s="28">
        <v>20230822</v>
      </c>
      <c r="F5" s="28"/>
      <c r="G5" s="29" t="s">
        <v>51</v>
      </c>
      <c r="H5" s="30" t="s">
        <v>68</v>
      </c>
      <c r="I5" s="28" t="s">
        <v>69</v>
      </c>
      <c r="J5" s="28" t="s">
        <v>54</v>
      </c>
      <c r="K5" s="28">
        <v>4</v>
      </c>
      <c r="L5" s="28">
        <v>0.48000000000000004</v>
      </c>
      <c r="M5" s="28"/>
      <c r="N5" s="28"/>
      <c r="O5" s="28"/>
      <c r="P5" s="28"/>
      <c r="Q5" s="28"/>
      <c r="R5" s="28"/>
      <c r="S5" s="28">
        <v>8</v>
      </c>
      <c r="T5" s="28"/>
      <c r="U5" s="28"/>
      <c r="V5" s="28"/>
      <c r="W5" s="28"/>
      <c r="X5" s="28"/>
      <c r="Y5" s="28" t="b">
        <f t="shared" si="0"/>
        <v>1</v>
      </c>
      <c r="Z5" s="28"/>
      <c r="AA5" s="28"/>
      <c r="AB5" s="28"/>
      <c r="AC5" s="28"/>
      <c r="AD5" s="28"/>
      <c r="AE5" s="35">
        <v>8</v>
      </c>
      <c r="AF5" s="28"/>
      <c r="AG5" s="28"/>
      <c r="AH5" s="28"/>
      <c r="AI5" s="28"/>
      <c r="AJ5" s="28"/>
      <c r="AK5" s="28"/>
      <c r="AL5" s="28"/>
      <c r="AM5" s="31">
        <v>4</v>
      </c>
      <c r="AN5" s="28"/>
      <c r="AO5" s="28"/>
      <c r="AP5" s="28"/>
      <c r="AQ5" s="28"/>
      <c r="AR5" s="32">
        <v>0.2</v>
      </c>
      <c r="AS5" s="28"/>
      <c r="AT5" s="28"/>
      <c r="AU5" s="28"/>
      <c r="AV5" s="28"/>
      <c r="AW5" s="28"/>
      <c r="AX5" s="28"/>
      <c r="AY5" s="32">
        <v>0.28000000000000003</v>
      </c>
      <c r="AZ5" s="28"/>
      <c r="BA5" s="28"/>
      <c r="BB5" s="28">
        <f t="shared" si="1"/>
        <v>12.479999999999999</v>
      </c>
      <c r="BC5" s="28"/>
    </row>
    <row r="6" spans="1:55">
      <c r="A6" s="28">
        <v>4</v>
      </c>
      <c r="B6" s="29">
        <v>501203</v>
      </c>
      <c r="C6" s="28" t="s">
        <v>211</v>
      </c>
      <c r="D6" s="28"/>
      <c r="E6" s="28">
        <v>20231114</v>
      </c>
      <c r="F6" s="28"/>
      <c r="G6" s="29" t="s">
        <v>51</v>
      </c>
      <c r="H6" s="30" t="s">
        <v>68</v>
      </c>
      <c r="I6" s="28" t="s">
        <v>69</v>
      </c>
      <c r="J6" s="28" t="s">
        <v>54</v>
      </c>
      <c r="K6" s="28">
        <v>8</v>
      </c>
      <c r="L6" s="28"/>
      <c r="M6" s="28"/>
      <c r="N6" s="28"/>
      <c r="O6" s="28"/>
      <c r="P6" s="28"/>
      <c r="Q6" s="28"/>
      <c r="R6" s="28"/>
      <c r="S6" s="28">
        <v>8</v>
      </c>
      <c r="T6" s="28"/>
      <c r="U6" s="28"/>
      <c r="V6" s="28"/>
      <c r="W6" s="28"/>
      <c r="X6" s="28"/>
      <c r="Y6" s="28" t="b">
        <f t="shared" si="0"/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35">
        <v>8</v>
      </c>
      <c r="AN6" s="28"/>
      <c r="AO6" s="28"/>
      <c r="AP6" s="28"/>
      <c r="AQ6" s="28"/>
      <c r="AR6" s="28"/>
      <c r="AS6" s="28"/>
      <c r="AT6" s="28"/>
      <c r="AU6" s="28"/>
      <c r="AV6" s="28"/>
      <c r="AW6" s="31">
        <v>8</v>
      </c>
      <c r="AX6" s="28"/>
      <c r="AY6" s="28"/>
      <c r="AZ6" s="28"/>
      <c r="BA6" s="28"/>
      <c r="BB6" s="28">
        <f t="shared" si="1"/>
        <v>16</v>
      </c>
      <c r="BC6" s="28"/>
    </row>
    <row r="7" spans="1:55">
      <c r="A7" s="28">
        <v>5</v>
      </c>
      <c r="B7" s="29">
        <v>501257</v>
      </c>
      <c r="C7" s="28" t="s">
        <v>237</v>
      </c>
      <c r="D7" s="28"/>
      <c r="E7" s="28">
        <v>20241121</v>
      </c>
      <c r="F7" s="28"/>
      <c r="G7" s="29" t="s">
        <v>51</v>
      </c>
      <c r="H7" s="30" t="s">
        <v>68</v>
      </c>
      <c r="I7" s="28" t="s">
        <v>69</v>
      </c>
      <c r="J7" s="28" t="s">
        <v>54</v>
      </c>
      <c r="K7" s="28"/>
      <c r="L7" s="28"/>
      <c r="M7" s="28"/>
      <c r="N7" s="28"/>
      <c r="O7" s="28"/>
      <c r="P7" s="28"/>
      <c r="Q7" s="28"/>
      <c r="R7" s="28"/>
      <c r="S7" s="28">
        <v>16</v>
      </c>
      <c r="T7" s="28"/>
      <c r="U7" s="28"/>
      <c r="V7" s="28"/>
      <c r="W7" s="28"/>
      <c r="X7" s="28"/>
      <c r="Y7" s="28" t="b">
        <f t="shared" si="0"/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35">
        <v>8</v>
      </c>
      <c r="AX7" s="28"/>
      <c r="AY7" s="28"/>
      <c r="AZ7" s="35">
        <v>8</v>
      </c>
      <c r="BA7" s="28"/>
      <c r="BB7" s="28">
        <f t="shared" si="1"/>
        <v>16</v>
      </c>
      <c r="BC7" s="28"/>
    </row>
    <row r="8" spans="1:55">
      <c r="A8" s="28">
        <v>6</v>
      </c>
      <c r="B8" s="41">
        <v>501277</v>
      </c>
      <c r="C8" s="40" t="s">
        <v>250</v>
      </c>
      <c r="D8" s="40"/>
      <c r="E8" s="40">
        <v>20250502</v>
      </c>
      <c r="F8" s="40">
        <v>20260214</v>
      </c>
      <c r="G8" s="41" t="s">
        <v>51</v>
      </c>
      <c r="H8" s="42" t="s">
        <v>68</v>
      </c>
      <c r="I8" s="40" t="s">
        <v>69</v>
      </c>
      <c r="J8" s="40" t="s">
        <v>54</v>
      </c>
      <c r="K8" s="28"/>
      <c r="L8" s="28"/>
      <c r="M8" s="28">
        <v>16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 t="b">
        <f t="shared" si="0"/>
        <v>1</v>
      </c>
      <c r="Z8" s="28"/>
      <c r="AA8" s="28"/>
      <c r="AB8" s="28"/>
      <c r="AC8" s="28"/>
      <c r="AD8" s="28"/>
      <c r="AE8" s="28"/>
      <c r="AF8" s="28"/>
      <c r="AG8" s="28"/>
      <c r="AH8" s="34">
        <v>8</v>
      </c>
      <c r="AI8" s="34">
        <v>8</v>
      </c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>
        <f t="shared" si="1"/>
        <v>16</v>
      </c>
      <c r="BC8" s="28"/>
    </row>
    <row r="9" spans="1:55">
      <c r="A9" s="28">
        <v>7</v>
      </c>
      <c r="B9" s="29">
        <v>501312</v>
      </c>
      <c r="C9" s="28" t="s">
        <v>274</v>
      </c>
      <c r="D9" s="28"/>
      <c r="E9" s="28">
        <v>20251117</v>
      </c>
      <c r="F9" s="28"/>
      <c r="G9" s="29" t="s">
        <v>51</v>
      </c>
      <c r="H9" s="30" t="s">
        <v>68</v>
      </c>
      <c r="I9" s="28" t="s">
        <v>69</v>
      </c>
      <c r="J9" s="28" t="s">
        <v>54</v>
      </c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 t="b">
        <f t="shared" si="0"/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>
        <f t="shared" si="1"/>
        <v>0</v>
      </c>
      <c r="BC9" s="28"/>
    </row>
    <row r="10" spans="1:55">
      <c r="A10" s="28">
        <v>8</v>
      </c>
      <c r="B10" s="29">
        <v>500196</v>
      </c>
      <c r="C10" s="28" t="s">
        <v>94</v>
      </c>
      <c r="D10" s="28"/>
      <c r="E10" s="28">
        <v>20151112</v>
      </c>
      <c r="F10" s="28"/>
      <c r="G10" s="29" t="s">
        <v>51</v>
      </c>
      <c r="H10" s="30" t="s">
        <v>95</v>
      </c>
      <c r="I10" s="28" t="s">
        <v>96</v>
      </c>
      <c r="J10" s="28" t="s">
        <v>58</v>
      </c>
      <c r="K10" s="28">
        <v>8</v>
      </c>
      <c r="L10" s="28">
        <v>16</v>
      </c>
      <c r="M10" s="28">
        <v>28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 t="b">
        <f t="shared" si="0"/>
        <v>1</v>
      </c>
      <c r="Z10" s="28"/>
      <c r="AA10" s="28"/>
      <c r="AB10" s="28"/>
      <c r="AC10" s="31">
        <v>8</v>
      </c>
      <c r="AD10" s="28"/>
      <c r="AE10" s="28"/>
      <c r="AF10" s="28"/>
      <c r="AG10" s="28"/>
      <c r="AH10" s="28"/>
      <c r="AI10" s="32">
        <v>8</v>
      </c>
      <c r="AJ10" s="28"/>
      <c r="AK10" s="28"/>
      <c r="AL10" s="28"/>
      <c r="AM10" s="32">
        <v>4</v>
      </c>
      <c r="AN10" s="28"/>
      <c r="AO10" s="28"/>
      <c r="AP10" s="28"/>
      <c r="AQ10" s="28"/>
      <c r="AR10" s="34">
        <v>8</v>
      </c>
      <c r="AS10" s="34">
        <v>8</v>
      </c>
      <c r="AT10" s="32">
        <v>4</v>
      </c>
      <c r="AU10" s="28"/>
      <c r="AV10" s="28"/>
      <c r="AW10" s="28"/>
      <c r="AX10" s="28"/>
      <c r="AY10" s="28"/>
      <c r="AZ10" s="34">
        <v>8</v>
      </c>
      <c r="BA10" s="34">
        <v>4</v>
      </c>
      <c r="BB10" s="28">
        <f t="shared" si="1"/>
        <v>52</v>
      </c>
      <c r="BC10" s="28"/>
    </row>
    <row r="11" spans="1:55">
      <c r="A11" s="28">
        <v>9</v>
      </c>
      <c r="B11" s="29">
        <v>500766</v>
      </c>
      <c r="C11" s="28" t="s">
        <v>165</v>
      </c>
      <c r="D11" s="28"/>
      <c r="E11" s="28">
        <v>20180619</v>
      </c>
      <c r="F11" s="28"/>
      <c r="G11" s="29" t="s">
        <v>51</v>
      </c>
      <c r="H11" s="30" t="s">
        <v>95</v>
      </c>
      <c r="I11" s="28" t="s">
        <v>96</v>
      </c>
      <c r="J11" s="28" t="s">
        <v>58</v>
      </c>
      <c r="K11" s="28"/>
      <c r="L11" s="28">
        <v>5.46</v>
      </c>
      <c r="M11" s="28">
        <v>16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 t="b">
        <f t="shared" si="0"/>
        <v>1</v>
      </c>
      <c r="Z11" s="28"/>
      <c r="AA11" s="32">
        <v>1.53</v>
      </c>
      <c r="AB11" s="32">
        <v>0.46</v>
      </c>
      <c r="AC11" s="32">
        <v>0.45</v>
      </c>
      <c r="AD11" s="32">
        <v>0.23</v>
      </c>
      <c r="AE11" s="32">
        <v>0.25</v>
      </c>
      <c r="AF11" s="28"/>
      <c r="AG11" s="28"/>
      <c r="AH11" s="28"/>
      <c r="AI11" s="28"/>
      <c r="AJ11" s="28"/>
      <c r="AK11" s="28"/>
      <c r="AL11" s="28"/>
      <c r="AM11" s="32">
        <v>1.05</v>
      </c>
      <c r="AN11" s="28"/>
      <c r="AO11" s="28"/>
      <c r="AP11" s="28"/>
      <c r="AQ11" s="34">
        <v>8</v>
      </c>
      <c r="AR11" s="34">
        <v>8</v>
      </c>
      <c r="AS11" s="28"/>
      <c r="AT11" s="28"/>
      <c r="AU11" s="28"/>
      <c r="AV11" s="28"/>
      <c r="AW11" s="32">
        <v>0.38</v>
      </c>
      <c r="AX11" s="28"/>
      <c r="AY11" s="32">
        <v>0.83</v>
      </c>
      <c r="AZ11" s="28"/>
      <c r="BA11" s="32">
        <v>0.28000000000000003</v>
      </c>
      <c r="BB11" s="28">
        <f t="shared" si="1"/>
        <v>21.459999999999997</v>
      </c>
      <c r="BC11" s="28"/>
    </row>
    <row r="12" spans="1:55">
      <c r="A12" s="28">
        <v>10</v>
      </c>
      <c r="B12" s="29">
        <v>500841</v>
      </c>
      <c r="C12" s="28" t="s">
        <v>177</v>
      </c>
      <c r="D12" s="28"/>
      <c r="E12" s="28">
        <v>20190205</v>
      </c>
      <c r="F12" s="28"/>
      <c r="G12" s="29" t="s">
        <v>51</v>
      </c>
      <c r="H12" s="30" t="s">
        <v>95</v>
      </c>
      <c r="I12" s="28" t="s">
        <v>96</v>
      </c>
      <c r="J12" s="28" t="s">
        <v>58</v>
      </c>
      <c r="K12" s="28">
        <v>8.65</v>
      </c>
      <c r="L12" s="28">
        <v>0.9</v>
      </c>
      <c r="M12" s="28"/>
      <c r="N12" s="28"/>
      <c r="O12" s="28">
        <v>8</v>
      </c>
      <c r="P12" s="28"/>
      <c r="Q12" s="28"/>
      <c r="R12" s="28"/>
      <c r="S12" s="28"/>
      <c r="T12" s="28"/>
      <c r="U12" s="28"/>
      <c r="V12" s="28"/>
      <c r="W12" s="28"/>
      <c r="X12" s="28"/>
      <c r="Y12" s="28" t="b">
        <f t="shared" si="0"/>
        <v>1</v>
      </c>
      <c r="Z12" s="28"/>
      <c r="AA12" s="31">
        <v>0.65</v>
      </c>
      <c r="AB12" s="31">
        <v>8</v>
      </c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32">
        <v>0.9</v>
      </c>
      <c r="AT12" s="28"/>
      <c r="AU12" s="28"/>
      <c r="AV12" s="28"/>
      <c r="AW12" s="33">
        <v>8</v>
      </c>
      <c r="AX12" s="28"/>
      <c r="AY12" s="28"/>
      <c r="AZ12" s="28"/>
      <c r="BA12" s="28"/>
      <c r="BB12" s="28">
        <f t="shared" si="1"/>
        <v>17.55</v>
      </c>
      <c r="BC12" s="28"/>
    </row>
    <row r="13" spans="1:55">
      <c r="A13" s="28">
        <v>11</v>
      </c>
      <c r="B13" s="29">
        <v>500925</v>
      </c>
      <c r="C13" s="28" t="s">
        <v>181</v>
      </c>
      <c r="D13" s="28"/>
      <c r="E13" s="28">
        <v>20191024</v>
      </c>
      <c r="F13" s="28"/>
      <c r="G13" s="29" t="s">
        <v>51</v>
      </c>
      <c r="H13" s="30" t="s">
        <v>95</v>
      </c>
      <c r="I13" s="28" t="s">
        <v>96</v>
      </c>
      <c r="J13" s="28" t="s">
        <v>58</v>
      </c>
      <c r="K13" s="28"/>
      <c r="L13" s="28"/>
      <c r="M13" s="28">
        <v>4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 t="b">
        <f t="shared" si="0"/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34">
        <v>4</v>
      </c>
      <c r="BB13" s="28">
        <f t="shared" si="1"/>
        <v>4</v>
      </c>
      <c r="BC13" s="28"/>
    </row>
    <row r="14" spans="1:55">
      <c r="A14" s="28">
        <v>12</v>
      </c>
      <c r="B14" s="29">
        <v>500979</v>
      </c>
      <c r="C14" s="28" t="s">
        <v>190</v>
      </c>
      <c r="D14" s="28"/>
      <c r="E14" s="28">
        <v>20200310</v>
      </c>
      <c r="F14" s="28"/>
      <c r="G14" s="29" t="s">
        <v>51</v>
      </c>
      <c r="H14" s="30" t="s">
        <v>95</v>
      </c>
      <c r="I14" s="28" t="s">
        <v>96</v>
      </c>
      <c r="J14" s="28" t="s">
        <v>58</v>
      </c>
      <c r="K14" s="28">
        <v>16</v>
      </c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>
        <v>8.58</v>
      </c>
      <c r="W14" s="28"/>
      <c r="X14" s="28"/>
      <c r="Y14" s="28" t="b">
        <f t="shared" si="0"/>
        <v>1</v>
      </c>
      <c r="Z14" s="28"/>
      <c r="AA14" s="36">
        <v>3.75</v>
      </c>
      <c r="AB14" s="28"/>
      <c r="AC14" s="28"/>
      <c r="AD14" s="28"/>
      <c r="AE14" s="28"/>
      <c r="AF14" s="28"/>
      <c r="AG14" s="28"/>
      <c r="AH14" s="31">
        <v>8</v>
      </c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31">
        <v>8</v>
      </c>
      <c r="AT14" s="28"/>
      <c r="AU14" s="28"/>
      <c r="AV14" s="28"/>
      <c r="AW14" s="28"/>
      <c r="AX14" s="28"/>
      <c r="AY14" s="36">
        <v>3.5</v>
      </c>
      <c r="AZ14" s="36">
        <v>1.33</v>
      </c>
      <c r="BA14" s="28"/>
      <c r="BB14" s="28">
        <f t="shared" si="1"/>
        <v>24.58</v>
      </c>
      <c r="BC14" s="28"/>
    </row>
    <row r="15" spans="1:55">
      <c r="A15" s="28">
        <v>13</v>
      </c>
      <c r="B15" s="29">
        <v>501212</v>
      </c>
      <c r="C15" s="28" t="s">
        <v>214</v>
      </c>
      <c r="D15" s="28"/>
      <c r="E15" s="28">
        <v>20240305</v>
      </c>
      <c r="F15" s="28"/>
      <c r="G15" s="29" t="s">
        <v>51</v>
      </c>
      <c r="H15" s="30" t="s">
        <v>95</v>
      </c>
      <c r="I15" s="28" t="s">
        <v>96</v>
      </c>
      <c r="J15" s="28" t="s">
        <v>58</v>
      </c>
      <c r="K15" s="28">
        <v>16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>
        <v>24</v>
      </c>
      <c r="W15" s="28"/>
      <c r="X15" s="28"/>
      <c r="Y15" s="28" t="b">
        <f t="shared" si="0"/>
        <v>1</v>
      </c>
      <c r="Z15" s="36">
        <v>8</v>
      </c>
      <c r="AA15" s="36">
        <v>8</v>
      </c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31">
        <v>8</v>
      </c>
      <c r="AS15" s="31">
        <v>8</v>
      </c>
      <c r="AT15" s="28"/>
      <c r="AU15" s="28"/>
      <c r="AV15" s="28"/>
      <c r="AW15" s="28"/>
      <c r="AX15" s="36">
        <v>8</v>
      </c>
      <c r="AY15" s="28"/>
      <c r="AZ15" s="28"/>
      <c r="BA15" s="28"/>
      <c r="BB15" s="28">
        <f t="shared" si="1"/>
        <v>40</v>
      </c>
      <c r="BC15" s="28"/>
    </row>
    <row r="16" spans="1:55">
      <c r="A16" s="28">
        <v>14</v>
      </c>
      <c r="B16" s="29">
        <v>501246</v>
      </c>
      <c r="C16" s="28" t="s">
        <v>228</v>
      </c>
      <c r="D16" s="28"/>
      <c r="E16" s="28">
        <v>20240913</v>
      </c>
      <c r="F16" s="28"/>
      <c r="G16" s="29" t="s">
        <v>51</v>
      </c>
      <c r="H16" s="30" t="s">
        <v>95</v>
      </c>
      <c r="I16" s="28" t="s">
        <v>96</v>
      </c>
      <c r="J16" s="28" t="s">
        <v>58</v>
      </c>
      <c r="K16" s="28"/>
      <c r="L16" s="28">
        <v>8.76</v>
      </c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 t="b">
        <f t="shared" si="0"/>
        <v>1</v>
      </c>
      <c r="Z16" s="28"/>
      <c r="AA16" s="28"/>
      <c r="AB16" s="28"/>
      <c r="AC16" s="28"/>
      <c r="AD16" s="32">
        <v>3.5</v>
      </c>
      <c r="AE16" s="28"/>
      <c r="AF16" s="28"/>
      <c r="AG16" s="28"/>
      <c r="AH16" s="28"/>
      <c r="AI16" s="32">
        <v>0.98</v>
      </c>
      <c r="AJ16" s="28"/>
      <c r="AK16" s="28"/>
      <c r="AL16" s="28"/>
      <c r="AM16" s="28"/>
      <c r="AN16" s="28"/>
      <c r="AO16" s="28"/>
      <c r="AP16" s="28"/>
      <c r="AQ16" s="32">
        <v>3.5</v>
      </c>
      <c r="AR16" s="28"/>
      <c r="AS16" s="28"/>
      <c r="AT16" s="28"/>
      <c r="AU16" s="28"/>
      <c r="AV16" s="32">
        <v>0.78</v>
      </c>
      <c r="AW16" s="28"/>
      <c r="AX16" s="28"/>
      <c r="AY16" s="28"/>
      <c r="AZ16" s="28"/>
      <c r="BA16" s="28"/>
      <c r="BB16" s="28">
        <f t="shared" si="1"/>
        <v>8.76</v>
      </c>
      <c r="BC16" s="28"/>
    </row>
    <row r="17" spans="1:55">
      <c r="A17" s="28">
        <v>15</v>
      </c>
      <c r="B17" s="29">
        <v>501261</v>
      </c>
      <c r="C17" s="28" t="s">
        <v>87</v>
      </c>
      <c r="D17" s="28"/>
      <c r="E17" s="28">
        <v>20241212</v>
      </c>
      <c r="F17" s="28"/>
      <c r="G17" s="29" t="s">
        <v>51</v>
      </c>
      <c r="H17" s="30" t="s">
        <v>95</v>
      </c>
      <c r="I17" s="28" t="s">
        <v>96</v>
      </c>
      <c r="J17" s="28" t="s">
        <v>58</v>
      </c>
      <c r="K17" s="28">
        <v>4</v>
      </c>
      <c r="L17" s="28">
        <v>1.96</v>
      </c>
      <c r="M17" s="28">
        <v>16</v>
      </c>
      <c r="N17" s="28"/>
      <c r="O17" s="28">
        <v>8</v>
      </c>
      <c r="P17" s="28"/>
      <c r="Q17" s="28"/>
      <c r="R17" s="28"/>
      <c r="S17" s="28"/>
      <c r="T17" s="28"/>
      <c r="U17" s="28"/>
      <c r="V17" s="28"/>
      <c r="W17" s="28"/>
      <c r="X17" s="28"/>
      <c r="Y17" s="28" t="b">
        <f t="shared" si="0"/>
        <v>1</v>
      </c>
      <c r="Z17" s="28"/>
      <c r="AA17" s="32">
        <v>0.3</v>
      </c>
      <c r="AB17" s="34">
        <v>8</v>
      </c>
      <c r="AC17" s="34">
        <v>8</v>
      </c>
      <c r="AD17" s="28"/>
      <c r="AE17" s="28"/>
      <c r="AF17" s="28"/>
      <c r="AG17" s="28"/>
      <c r="AH17" s="32">
        <v>0.33</v>
      </c>
      <c r="AI17" s="32">
        <v>0.28000000000000003</v>
      </c>
      <c r="AJ17" s="28"/>
      <c r="AK17" s="28"/>
      <c r="AL17" s="28"/>
      <c r="AM17" s="31">
        <v>4</v>
      </c>
      <c r="AN17" s="28"/>
      <c r="AO17" s="28"/>
      <c r="AP17" s="28"/>
      <c r="AQ17" s="28"/>
      <c r="AR17" s="32">
        <v>0.61</v>
      </c>
      <c r="AS17" s="28"/>
      <c r="AT17" s="28"/>
      <c r="AU17" s="28"/>
      <c r="AV17" s="33">
        <v>8</v>
      </c>
      <c r="AW17" s="28"/>
      <c r="AX17" s="28"/>
      <c r="AY17" s="32">
        <v>0.23</v>
      </c>
      <c r="AZ17" s="32">
        <v>0.21</v>
      </c>
      <c r="BA17" s="28"/>
      <c r="BB17" s="28">
        <f t="shared" si="1"/>
        <v>29.96</v>
      </c>
      <c r="BC17" s="28"/>
    </row>
    <row r="18" spans="1:55">
      <c r="A18" s="28">
        <v>16</v>
      </c>
      <c r="B18" s="29">
        <v>500511</v>
      </c>
      <c r="C18" s="28" t="s">
        <v>144</v>
      </c>
      <c r="D18" s="28"/>
      <c r="E18" s="28">
        <v>20170314</v>
      </c>
      <c r="F18" s="28"/>
      <c r="G18" s="29" t="s">
        <v>51</v>
      </c>
      <c r="H18" s="30" t="s">
        <v>145</v>
      </c>
      <c r="I18" s="28" t="s">
        <v>146</v>
      </c>
      <c r="J18" s="28" t="s">
        <v>54</v>
      </c>
      <c r="K18" s="28">
        <v>8</v>
      </c>
      <c r="L18" s="28">
        <v>2.17</v>
      </c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 t="b">
        <f t="shared" si="0"/>
        <v>1</v>
      </c>
      <c r="Z18" s="28"/>
      <c r="AA18" s="28"/>
      <c r="AB18" s="28"/>
      <c r="AC18" s="28"/>
      <c r="AD18" s="28"/>
      <c r="AE18" s="31">
        <v>8</v>
      </c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32">
        <v>1.86</v>
      </c>
      <c r="AS18" s="28"/>
      <c r="AT18" s="28"/>
      <c r="AU18" s="28"/>
      <c r="AV18" s="28"/>
      <c r="AW18" s="28"/>
      <c r="AX18" s="28"/>
      <c r="AY18" s="32">
        <v>0.31</v>
      </c>
      <c r="AZ18" s="28"/>
      <c r="BA18" s="28"/>
      <c r="BB18" s="28">
        <f t="shared" si="1"/>
        <v>10.17</v>
      </c>
      <c r="BC18" s="28"/>
    </row>
    <row r="19" spans="1:55">
      <c r="A19" s="28">
        <v>17</v>
      </c>
      <c r="B19" s="29">
        <v>500512</v>
      </c>
      <c r="C19" s="28" t="s">
        <v>147</v>
      </c>
      <c r="D19" s="28"/>
      <c r="E19" s="28">
        <v>20170321</v>
      </c>
      <c r="F19" s="28"/>
      <c r="G19" s="29" t="s">
        <v>51</v>
      </c>
      <c r="H19" s="30" t="s">
        <v>145</v>
      </c>
      <c r="I19" s="28" t="s">
        <v>146</v>
      </c>
      <c r="J19" s="28" t="s">
        <v>54</v>
      </c>
      <c r="K19" s="28">
        <v>8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 t="b">
        <f t="shared" si="0"/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31">
        <v>8</v>
      </c>
      <c r="BA19" s="28"/>
      <c r="BB19" s="28">
        <f t="shared" si="1"/>
        <v>8</v>
      </c>
      <c r="BC19" s="28"/>
    </row>
    <row r="20" spans="1:55">
      <c r="A20" s="28">
        <v>18</v>
      </c>
      <c r="B20" s="29">
        <v>500827</v>
      </c>
      <c r="C20" s="28" t="s">
        <v>174</v>
      </c>
      <c r="D20" s="28"/>
      <c r="E20" s="28">
        <v>20181220</v>
      </c>
      <c r="F20" s="28"/>
      <c r="G20" s="29" t="s">
        <v>51</v>
      </c>
      <c r="H20" s="30" t="s">
        <v>145</v>
      </c>
      <c r="I20" s="28" t="s">
        <v>146</v>
      </c>
      <c r="J20" s="28" t="s">
        <v>54</v>
      </c>
      <c r="K20" s="28"/>
      <c r="L20" s="28"/>
      <c r="M20" s="28"/>
      <c r="N20" s="28"/>
      <c r="O20" s="28">
        <v>8</v>
      </c>
      <c r="P20" s="28"/>
      <c r="Q20" s="28"/>
      <c r="R20" s="28"/>
      <c r="S20" s="28"/>
      <c r="T20" s="28"/>
      <c r="U20" s="28"/>
      <c r="V20" s="28"/>
      <c r="W20" s="28"/>
      <c r="X20" s="28"/>
      <c r="Y20" s="28" t="b">
        <f t="shared" si="0"/>
        <v>1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33">
        <v>8</v>
      </c>
      <c r="AW20" s="28"/>
      <c r="AX20" s="28"/>
      <c r="AY20" s="28"/>
      <c r="AZ20" s="28"/>
      <c r="BA20" s="28"/>
      <c r="BB20" s="28">
        <f t="shared" si="1"/>
        <v>8</v>
      </c>
      <c r="BC20" s="28"/>
    </row>
    <row r="21" spans="1:55">
      <c r="A21" s="28">
        <v>19</v>
      </c>
      <c r="B21" s="29">
        <v>501201</v>
      </c>
      <c r="C21" s="28" t="s">
        <v>210</v>
      </c>
      <c r="D21" s="28"/>
      <c r="E21" s="28">
        <v>20230914</v>
      </c>
      <c r="F21" s="28"/>
      <c r="G21" s="29" t="s">
        <v>51</v>
      </c>
      <c r="H21" s="30" t="s">
        <v>145</v>
      </c>
      <c r="I21" s="28" t="s">
        <v>146</v>
      </c>
      <c r="J21" s="28" t="s">
        <v>54</v>
      </c>
      <c r="K21" s="28"/>
      <c r="L21" s="28"/>
      <c r="M21" s="28"/>
      <c r="N21" s="28"/>
      <c r="O21" s="28">
        <v>8</v>
      </c>
      <c r="P21" s="28"/>
      <c r="Q21" s="28"/>
      <c r="R21" s="28"/>
      <c r="S21" s="28">
        <v>8</v>
      </c>
      <c r="T21" s="28"/>
      <c r="U21" s="28"/>
      <c r="V21" s="28"/>
      <c r="W21" s="28">
        <v>8</v>
      </c>
      <c r="X21" s="28"/>
      <c r="Y21" s="28" t="b">
        <f t="shared" si="0"/>
        <v>1</v>
      </c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33">
        <v>8</v>
      </c>
      <c r="AN21" s="28"/>
      <c r="AO21" s="28"/>
      <c r="AP21" s="28"/>
      <c r="AQ21" s="28"/>
      <c r="AR21" s="28"/>
      <c r="AS21" s="28"/>
      <c r="AT21" s="35">
        <v>8</v>
      </c>
      <c r="AU21" s="28"/>
      <c r="AV21" s="28"/>
      <c r="AW21" s="28"/>
      <c r="AX21" s="28"/>
      <c r="AY21" s="28"/>
      <c r="AZ21" s="38">
        <v>8</v>
      </c>
      <c r="BA21" s="28"/>
      <c r="BB21" s="28">
        <f t="shared" si="1"/>
        <v>24</v>
      </c>
      <c r="BC21" s="28"/>
    </row>
    <row r="22" spans="1:55">
      <c r="A22" s="28">
        <v>20</v>
      </c>
      <c r="B22" s="29">
        <v>501208</v>
      </c>
      <c r="C22" s="28" t="s">
        <v>213</v>
      </c>
      <c r="D22" s="28"/>
      <c r="E22" s="28">
        <v>20240215</v>
      </c>
      <c r="F22" s="28"/>
      <c r="G22" s="29" t="s">
        <v>51</v>
      </c>
      <c r="H22" s="30" t="s">
        <v>145</v>
      </c>
      <c r="I22" s="28" t="s">
        <v>146</v>
      </c>
      <c r="J22" s="28" t="s">
        <v>54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 t="b">
        <f t="shared" si="0"/>
        <v>1</v>
      </c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>
        <f t="shared" si="1"/>
        <v>0</v>
      </c>
      <c r="BC22" s="28"/>
    </row>
    <row r="23" spans="1:55">
      <c r="A23" s="28">
        <v>21</v>
      </c>
      <c r="B23" s="29">
        <v>501248</v>
      </c>
      <c r="C23" s="28" t="s">
        <v>230</v>
      </c>
      <c r="D23" s="28"/>
      <c r="E23" s="28">
        <v>20240920</v>
      </c>
      <c r="F23" s="28"/>
      <c r="G23" s="29" t="s">
        <v>51</v>
      </c>
      <c r="H23" s="30" t="s">
        <v>145</v>
      </c>
      <c r="I23" s="28" t="s">
        <v>146</v>
      </c>
      <c r="J23" s="28" t="s">
        <v>54</v>
      </c>
      <c r="K23" s="28"/>
      <c r="L23" s="28">
        <v>0.46</v>
      </c>
      <c r="M23" s="28"/>
      <c r="N23" s="28"/>
      <c r="O23" s="28">
        <v>8</v>
      </c>
      <c r="P23" s="28"/>
      <c r="Q23" s="28"/>
      <c r="R23" s="28"/>
      <c r="S23" s="28"/>
      <c r="T23" s="28"/>
      <c r="U23" s="28"/>
      <c r="V23" s="28"/>
      <c r="W23" s="28"/>
      <c r="X23" s="28"/>
      <c r="Y23" s="28" t="b">
        <f t="shared" si="0"/>
        <v>1</v>
      </c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33">
        <v>8</v>
      </c>
      <c r="AR23" s="32">
        <v>0.2</v>
      </c>
      <c r="AS23" s="28"/>
      <c r="AT23" s="28"/>
      <c r="AU23" s="28"/>
      <c r="AV23" s="28"/>
      <c r="AW23" s="28"/>
      <c r="AX23" s="28"/>
      <c r="AY23" s="32">
        <v>0.26</v>
      </c>
      <c r="AZ23" s="28"/>
      <c r="BA23" s="28"/>
      <c r="BB23" s="28">
        <f t="shared" si="1"/>
        <v>8.4599999999999991</v>
      </c>
      <c r="BC23" s="28"/>
    </row>
    <row r="24" spans="1:55">
      <c r="A24" s="28">
        <v>22</v>
      </c>
      <c r="B24" s="29">
        <v>501254</v>
      </c>
      <c r="C24" s="28" t="s">
        <v>235</v>
      </c>
      <c r="D24" s="28"/>
      <c r="E24" s="28">
        <v>20241023</v>
      </c>
      <c r="F24" s="28"/>
      <c r="G24" s="29" t="s">
        <v>51</v>
      </c>
      <c r="H24" s="30" t="s">
        <v>145</v>
      </c>
      <c r="I24" s="28" t="s">
        <v>146</v>
      </c>
      <c r="J24" s="28" t="s">
        <v>54</v>
      </c>
      <c r="K24" s="28"/>
      <c r="L24" s="28">
        <v>4.75</v>
      </c>
      <c r="M24" s="28">
        <v>8</v>
      </c>
      <c r="N24" s="28"/>
      <c r="O24" s="28">
        <v>16</v>
      </c>
      <c r="P24" s="28"/>
      <c r="Q24" s="28"/>
      <c r="R24" s="28"/>
      <c r="S24" s="28"/>
      <c r="T24" s="28"/>
      <c r="U24" s="28"/>
      <c r="V24" s="28"/>
      <c r="W24" s="28"/>
      <c r="X24" s="28"/>
      <c r="Y24" s="28" t="b">
        <f t="shared" si="0"/>
        <v>1</v>
      </c>
      <c r="Z24" s="28"/>
      <c r="AA24" s="33">
        <v>8</v>
      </c>
      <c r="AB24" s="34">
        <v>8</v>
      </c>
      <c r="AC24" s="32">
        <v>0.21</v>
      </c>
      <c r="AD24" s="28"/>
      <c r="AE24" s="28"/>
      <c r="AF24" s="28"/>
      <c r="AG24" s="28"/>
      <c r="AH24" s="32">
        <v>1.18</v>
      </c>
      <c r="AI24" s="28"/>
      <c r="AJ24" s="28"/>
      <c r="AK24" s="28"/>
      <c r="AL24" s="28"/>
      <c r="AM24" s="28"/>
      <c r="AN24" s="28"/>
      <c r="AO24" s="28"/>
      <c r="AP24" s="28"/>
      <c r="AQ24" s="33">
        <v>8</v>
      </c>
      <c r="AR24" s="28"/>
      <c r="AS24" s="28"/>
      <c r="AT24" s="28"/>
      <c r="AU24" s="28"/>
      <c r="AV24" s="32">
        <v>0.5</v>
      </c>
      <c r="AW24" s="28"/>
      <c r="AX24" s="32">
        <v>2.4500000000000002</v>
      </c>
      <c r="AY24" s="28"/>
      <c r="AZ24" s="28"/>
      <c r="BA24" s="32">
        <v>0.41</v>
      </c>
      <c r="BB24" s="28">
        <f t="shared" si="1"/>
        <v>28.75</v>
      </c>
      <c r="BC24" s="28"/>
    </row>
    <row r="25" spans="1:55">
      <c r="A25" s="28">
        <v>23</v>
      </c>
      <c r="B25" s="29">
        <v>501264</v>
      </c>
      <c r="C25" s="28" t="s">
        <v>241</v>
      </c>
      <c r="D25" s="28"/>
      <c r="E25" s="28">
        <v>20250108</v>
      </c>
      <c r="F25" s="28"/>
      <c r="G25" s="29" t="s">
        <v>51</v>
      </c>
      <c r="H25" s="30" t="s">
        <v>145</v>
      </c>
      <c r="I25" s="28" t="s">
        <v>146</v>
      </c>
      <c r="J25" s="28" t="s">
        <v>54</v>
      </c>
      <c r="K25" s="28"/>
      <c r="L25" s="28">
        <v>0.26</v>
      </c>
      <c r="M25" s="28"/>
      <c r="N25" s="28"/>
      <c r="O25" s="28">
        <v>16</v>
      </c>
      <c r="P25" s="28"/>
      <c r="Q25" s="28"/>
      <c r="R25" s="28"/>
      <c r="S25" s="28"/>
      <c r="T25" s="28"/>
      <c r="U25" s="28"/>
      <c r="V25" s="28"/>
      <c r="W25" s="28"/>
      <c r="X25" s="28"/>
      <c r="Y25" s="28" t="b">
        <f t="shared" si="0"/>
        <v>1</v>
      </c>
      <c r="Z25" s="28"/>
      <c r="AA25" s="33">
        <v>8</v>
      </c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33">
        <v>8</v>
      </c>
      <c r="AS25" s="28"/>
      <c r="AT25" s="28"/>
      <c r="AU25" s="28"/>
      <c r="AV25" s="28"/>
      <c r="AW25" s="28"/>
      <c r="AX25" s="28"/>
      <c r="AY25" s="32">
        <v>0.26</v>
      </c>
      <c r="AZ25" s="28"/>
      <c r="BA25" s="28"/>
      <c r="BB25" s="28">
        <f t="shared" si="1"/>
        <v>16.260000000000002</v>
      </c>
      <c r="BC25" s="28"/>
    </row>
    <row r="26" spans="1:55">
      <c r="A26" s="28">
        <v>24</v>
      </c>
      <c r="B26" s="29">
        <v>501282</v>
      </c>
      <c r="C26" s="28" t="s">
        <v>254</v>
      </c>
      <c r="D26" s="28"/>
      <c r="E26" s="28">
        <v>20250515</v>
      </c>
      <c r="F26" s="28"/>
      <c r="G26" s="29" t="s">
        <v>51</v>
      </c>
      <c r="H26" s="30" t="s">
        <v>145</v>
      </c>
      <c r="I26" s="28" t="s">
        <v>146</v>
      </c>
      <c r="J26" s="28" t="s">
        <v>54</v>
      </c>
      <c r="K26" s="28">
        <v>8</v>
      </c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 t="b">
        <f t="shared" si="0"/>
        <v>1</v>
      </c>
      <c r="Z26" s="28"/>
      <c r="AA26" s="28"/>
      <c r="AB26" s="28"/>
      <c r="AC26" s="28"/>
      <c r="AD26" s="31">
        <v>8</v>
      </c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>
        <f t="shared" si="1"/>
        <v>8</v>
      </c>
      <c r="BC26" s="28"/>
    </row>
    <row r="27" spans="1:55">
      <c r="A27" s="28">
        <v>25</v>
      </c>
      <c r="B27" s="29">
        <v>501297</v>
      </c>
      <c r="C27" s="28" t="s">
        <v>260</v>
      </c>
      <c r="D27" s="28"/>
      <c r="E27" s="28">
        <v>20250904</v>
      </c>
      <c r="F27" s="28"/>
      <c r="G27" s="29" t="s">
        <v>51</v>
      </c>
      <c r="H27" s="30" t="s">
        <v>145</v>
      </c>
      <c r="I27" s="28" t="s">
        <v>146</v>
      </c>
      <c r="J27" s="28" t="s">
        <v>54</v>
      </c>
      <c r="K27" s="28">
        <v>8</v>
      </c>
      <c r="L27" s="28">
        <v>4</v>
      </c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 t="b">
        <f t="shared" si="0"/>
        <v>1</v>
      </c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32">
        <v>4</v>
      </c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31">
        <v>8</v>
      </c>
      <c r="AZ27" s="28"/>
      <c r="BA27" s="28"/>
      <c r="BB27" s="28">
        <f t="shared" si="1"/>
        <v>12</v>
      </c>
      <c r="BC27" s="28"/>
    </row>
    <row r="28" spans="1:55">
      <c r="A28" s="28">
        <v>26</v>
      </c>
      <c r="B28" s="29">
        <v>501304</v>
      </c>
      <c r="C28" s="28" t="s">
        <v>266</v>
      </c>
      <c r="D28" s="28"/>
      <c r="E28" s="28">
        <v>20251106</v>
      </c>
      <c r="F28" s="28"/>
      <c r="G28" s="29" t="s">
        <v>51</v>
      </c>
      <c r="H28" s="30" t="s">
        <v>145</v>
      </c>
      <c r="I28" s="28" t="s">
        <v>146</v>
      </c>
      <c r="J28" s="28" t="s">
        <v>54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 t="b">
        <f t="shared" si="0"/>
        <v>1</v>
      </c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>
        <f t="shared" si="1"/>
        <v>0</v>
      </c>
      <c r="BC28" s="28"/>
    </row>
    <row r="29" spans="1:55">
      <c r="A29" s="28">
        <v>27</v>
      </c>
      <c r="B29" s="29">
        <v>501263</v>
      </c>
      <c r="C29" s="28" t="s">
        <v>238</v>
      </c>
      <c r="D29" s="28"/>
      <c r="E29" s="28">
        <v>20250108</v>
      </c>
      <c r="F29" s="28"/>
      <c r="G29" s="29" t="s">
        <v>51</v>
      </c>
      <c r="H29" s="30" t="s">
        <v>239</v>
      </c>
      <c r="I29" s="28" t="s">
        <v>240</v>
      </c>
      <c r="J29" s="28" t="s">
        <v>58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 t="b">
        <f t="shared" si="0"/>
        <v>1</v>
      </c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>
        <f t="shared" si="1"/>
        <v>0</v>
      </c>
      <c r="BC29" s="28"/>
    </row>
    <row r="30" spans="1:55">
      <c r="A30" s="28">
        <v>28</v>
      </c>
      <c r="B30" s="29">
        <v>111670</v>
      </c>
      <c r="C30" s="28" t="s">
        <v>55</v>
      </c>
      <c r="D30" s="28"/>
      <c r="E30" s="28">
        <v>20180522</v>
      </c>
      <c r="F30" s="28"/>
      <c r="G30" s="29" t="s">
        <v>51</v>
      </c>
      <c r="H30" s="30" t="s">
        <v>56</v>
      </c>
      <c r="I30" s="28" t="s">
        <v>57</v>
      </c>
      <c r="J30" s="28" t="s">
        <v>58</v>
      </c>
      <c r="K30" s="28">
        <v>7</v>
      </c>
      <c r="L30" s="28">
        <v>3</v>
      </c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 t="b">
        <f t="shared" si="0"/>
        <v>1</v>
      </c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31">
        <v>7</v>
      </c>
      <c r="AT30" s="28"/>
      <c r="AU30" s="28"/>
      <c r="AV30" s="28"/>
      <c r="AW30" s="28"/>
      <c r="AX30" s="28"/>
      <c r="AY30" s="28"/>
      <c r="AZ30" s="28"/>
      <c r="BA30" s="32">
        <v>3</v>
      </c>
      <c r="BB30" s="28">
        <f t="shared" si="1"/>
        <v>10</v>
      </c>
      <c r="BC30" s="28"/>
    </row>
    <row r="31" spans="1:55">
      <c r="A31" s="28">
        <v>29</v>
      </c>
      <c r="B31" s="29">
        <v>128663</v>
      </c>
      <c r="C31" s="28" t="s">
        <v>59</v>
      </c>
      <c r="D31" s="28"/>
      <c r="E31" s="28">
        <v>20220823</v>
      </c>
      <c r="F31" s="28"/>
      <c r="G31" s="29" t="s">
        <v>51</v>
      </c>
      <c r="H31" s="30" t="s">
        <v>56</v>
      </c>
      <c r="I31" s="28" t="s">
        <v>57</v>
      </c>
      <c r="J31" s="28" t="s">
        <v>58</v>
      </c>
      <c r="K31" s="28"/>
      <c r="L31" s="28">
        <v>1.8699999999999997</v>
      </c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 t="b">
        <f t="shared" si="0"/>
        <v>1</v>
      </c>
      <c r="Z31" s="28"/>
      <c r="AA31" s="28"/>
      <c r="AB31" s="32">
        <v>0.25</v>
      </c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32">
        <v>0.41</v>
      </c>
      <c r="AT31" s="32">
        <v>0.2</v>
      </c>
      <c r="AU31" s="28"/>
      <c r="AV31" s="32">
        <v>0.25</v>
      </c>
      <c r="AW31" s="28"/>
      <c r="AX31" s="32">
        <v>0.36</v>
      </c>
      <c r="AY31" s="28"/>
      <c r="AZ31" s="32">
        <v>0.4</v>
      </c>
      <c r="BA31" s="28"/>
      <c r="BB31" s="28">
        <f t="shared" si="1"/>
        <v>1.8699999999999997</v>
      </c>
      <c r="BC31" s="28"/>
    </row>
    <row r="32" spans="1:55">
      <c r="A32" s="28">
        <v>30</v>
      </c>
      <c r="B32" s="29">
        <v>500208</v>
      </c>
      <c r="C32" s="28" t="s">
        <v>98</v>
      </c>
      <c r="D32" s="28"/>
      <c r="E32" s="28">
        <v>20151124</v>
      </c>
      <c r="F32" s="28"/>
      <c r="G32" s="29" t="s">
        <v>51</v>
      </c>
      <c r="H32" s="30" t="s">
        <v>56</v>
      </c>
      <c r="I32" s="28" t="s">
        <v>57</v>
      </c>
      <c r="J32" s="28" t="s">
        <v>58</v>
      </c>
      <c r="K32" s="28"/>
      <c r="L32" s="28"/>
      <c r="M32" s="28">
        <v>16</v>
      </c>
      <c r="N32" s="28"/>
      <c r="O32" s="28"/>
      <c r="P32" s="28"/>
      <c r="Q32" s="28"/>
      <c r="R32" s="28"/>
      <c r="S32" s="28"/>
      <c r="T32" s="28"/>
      <c r="U32" s="28"/>
      <c r="V32" s="28">
        <v>59.55</v>
      </c>
      <c r="W32" s="28"/>
      <c r="X32" s="28"/>
      <c r="Y32" s="28" t="b">
        <f t="shared" si="0"/>
        <v>1</v>
      </c>
      <c r="Z32" s="28"/>
      <c r="AA32" s="36">
        <v>1.95</v>
      </c>
      <c r="AB32" s="36">
        <v>1.8</v>
      </c>
      <c r="AC32" s="36">
        <v>1.7</v>
      </c>
      <c r="AD32" s="36">
        <v>8</v>
      </c>
      <c r="AE32" s="36">
        <v>1.98</v>
      </c>
      <c r="AF32" s="36">
        <v>1.65</v>
      </c>
      <c r="AG32" s="28"/>
      <c r="AH32" s="36">
        <v>8</v>
      </c>
      <c r="AI32" s="36">
        <v>2.08</v>
      </c>
      <c r="AJ32" s="36">
        <v>1.75</v>
      </c>
      <c r="AK32" s="28"/>
      <c r="AL32" s="28"/>
      <c r="AM32" s="36">
        <v>1.48</v>
      </c>
      <c r="AN32" s="28"/>
      <c r="AO32" s="28"/>
      <c r="AP32" s="28"/>
      <c r="AQ32" s="36">
        <v>1.5</v>
      </c>
      <c r="AR32" s="36">
        <v>1.45</v>
      </c>
      <c r="AS32" s="36">
        <v>0.73</v>
      </c>
      <c r="AT32" s="36">
        <v>0.7</v>
      </c>
      <c r="AU32" s="28"/>
      <c r="AV32" s="36">
        <v>0.78</v>
      </c>
      <c r="AW32" s="36">
        <v>8</v>
      </c>
      <c r="AX32" s="34">
        <v>8</v>
      </c>
      <c r="AY32" s="34">
        <v>8</v>
      </c>
      <c r="AZ32" s="36">
        <v>8</v>
      </c>
      <c r="BA32" s="36">
        <v>8</v>
      </c>
      <c r="BB32" s="28">
        <f t="shared" si="1"/>
        <v>75.55</v>
      </c>
      <c r="BC32" s="28"/>
    </row>
    <row r="33" spans="1:55">
      <c r="A33" s="28">
        <v>31</v>
      </c>
      <c r="B33" s="29">
        <v>500295</v>
      </c>
      <c r="C33" s="28" t="s">
        <v>109</v>
      </c>
      <c r="D33" s="28"/>
      <c r="E33" s="28">
        <v>20160421</v>
      </c>
      <c r="F33" s="28"/>
      <c r="G33" s="29" t="s">
        <v>51</v>
      </c>
      <c r="H33" s="30" t="s">
        <v>56</v>
      </c>
      <c r="I33" s="28" t="s">
        <v>57</v>
      </c>
      <c r="J33" s="28" t="s">
        <v>58</v>
      </c>
      <c r="K33" s="28">
        <v>12</v>
      </c>
      <c r="L33" s="28">
        <v>0.56000000000000005</v>
      </c>
      <c r="M33" s="28">
        <v>4.3099999999999996</v>
      </c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 t="b">
        <f t="shared" si="0"/>
        <v>1</v>
      </c>
      <c r="Z33" s="28"/>
      <c r="AA33" s="28"/>
      <c r="AB33" s="31">
        <v>8</v>
      </c>
      <c r="AC33" s="28"/>
      <c r="AD33" s="32">
        <v>0.56000000000000005</v>
      </c>
      <c r="AE33" s="28"/>
      <c r="AF33" s="28"/>
      <c r="AG33" s="28"/>
      <c r="AH33" s="34">
        <v>4.3099999999999996</v>
      </c>
      <c r="AI33" s="28"/>
      <c r="AJ33" s="28"/>
      <c r="AK33" s="28"/>
      <c r="AL33" s="28"/>
      <c r="AM33" s="31">
        <v>4</v>
      </c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>
        <f t="shared" si="1"/>
        <v>16.87</v>
      </c>
      <c r="BC33" s="28"/>
    </row>
    <row r="34" spans="1:55">
      <c r="A34" s="28">
        <v>32</v>
      </c>
      <c r="B34" s="29">
        <v>500778</v>
      </c>
      <c r="C34" s="28" t="s">
        <v>168</v>
      </c>
      <c r="D34" s="28"/>
      <c r="E34" s="28">
        <v>20180710</v>
      </c>
      <c r="F34" s="28"/>
      <c r="G34" s="29" t="s">
        <v>51</v>
      </c>
      <c r="H34" s="30" t="s">
        <v>56</v>
      </c>
      <c r="I34" s="28" t="s">
        <v>57</v>
      </c>
      <c r="J34" s="28" t="s">
        <v>58</v>
      </c>
      <c r="K34" s="28"/>
      <c r="L34" s="28">
        <v>14</v>
      </c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 t="b">
        <f t="shared" si="0"/>
        <v>1</v>
      </c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32">
        <v>7</v>
      </c>
      <c r="AN34" s="32">
        <v>7</v>
      </c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>
        <f t="shared" si="1"/>
        <v>14</v>
      </c>
      <c r="BC34" s="28"/>
    </row>
    <row r="35" spans="1:55">
      <c r="A35" s="28">
        <v>33</v>
      </c>
      <c r="B35" s="29">
        <v>501131</v>
      </c>
      <c r="C35" s="28" t="s">
        <v>204</v>
      </c>
      <c r="D35" s="28"/>
      <c r="E35" s="28">
        <v>20220614</v>
      </c>
      <c r="F35" s="28"/>
      <c r="G35" s="29" t="s">
        <v>51</v>
      </c>
      <c r="H35" s="30" t="s">
        <v>56</v>
      </c>
      <c r="I35" s="28" t="s">
        <v>57</v>
      </c>
      <c r="J35" s="28" t="s">
        <v>58</v>
      </c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 t="b">
        <f t="shared" si="0"/>
        <v>1</v>
      </c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>
        <f t="shared" si="1"/>
        <v>0</v>
      </c>
      <c r="BC35" s="28"/>
    </row>
    <row r="36" spans="1:55">
      <c r="A36" s="28">
        <v>34</v>
      </c>
      <c r="B36" s="29">
        <v>501229</v>
      </c>
      <c r="C36" s="28" t="s">
        <v>220</v>
      </c>
      <c r="D36" s="28"/>
      <c r="E36" s="28">
        <v>20240704</v>
      </c>
      <c r="F36" s="28"/>
      <c r="G36" s="29" t="s">
        <v>51</v>
      </c>
      <c r="H36" s="30" t="s">
        <v>56</v>
      </c>
      <c r="I36" s="28" t="s">
        <v>57</v>
      </c>
      <c r="J36" s="28" t="s">
        <v>58</v>
      </c>
      <c r="K36" s="28"/>
      <c r="L36" s="28"/>
      <c r="M36" s="28"/>
      <c r="N36" s="28"/>
      <c r="O36" s="28">
        <v>7</v>
      </c>
      <c r="P36" s="28"/>
      <c r="Q36" s="28"/>
      <c r="R36" s="28"/>
      <c r="S36" s="28"/>
      <c r="T36" s="28"/>
      <c r="U36" s="28"/>
      <c r="V36" s="28"/>
      <c r="W36" s="28"/>
      <c r="X36" s="28"/>
      <c r="Y36" s="28" t="b">
        <f t="shared" si="0"/>
        <v>1</v>
      </c>
      <c r="Z36" s="28"/>
      <c r="AA36" s="28"/>
      <c r="AB36" s="28"/>
      <c r="AC36" s="28"/>
      <c r="AD36" s="28"/>
      <c r="AE36" s="28"/>
      <c r="AF36" s="28"/>
      <c r="AG36" s="28"/>
      <c r="AH36" s="28"/>
      <c r="AI36" s="33">
        <v>7</v>
      </c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>
        <f t="shared" si="1"/>
        <v>7</v>
      </c>
      <c r="BC36" s="28"/>
    </row>
    <row r="37" spans="1:55">
      <c r="A37" s="28">
        <v>35</v>
      </c>
      <c r="B37" s="29">
        <v>501240</v>
      </c>
      <c r="C37" s="28" t="s">
        <v>225</v>
      </c>
      <c r="D37" s="28"/>
      <c r="E37" s="28">
        <v>20240827</v>
      </c>
      <c r="F37" s="28"/>
      <c r="G37" s="29" t="s">
        <v>51</v>
      </c>
      <c r="H37" s="30" t="s">
        <v>56</v>
      </c>
      <c r="I37" s="28" t="s">
        <v>57</v>
      </c>
      <c r="J37" s="28" t="s">
        <v>58</v>
      </c>
      <c r="K37" s="28"/>
      <c r="L37" s="28"/>
      <c r="M37" s="28"/>
      <c r="N37" s="28"/>
      <c r="O37" s="28">
        <v>7</v>
      </c>
      <c r="P37" s="28"/>
      <c r="Q37" s="28"/>
      <c r="R37" s="28"/>
      <c r="S37" s="28"/>
      <c r="T37" s="28"/>
      <c r="U37" s="28"/>
      <c r="V37" s="28"/>
      <c r="W37" s="28"/>
      <c r="X37" s="28"/>
      <c r="Y37" s="28" t="b">
        <f t="shared" si="0"/>
        <v>1</v>
      </c>
      <c r="Z37" s="28"/>
      <c r="AA37" s="28"/>
      <c r="AB37" s="28"/>
      <c r="AC37" s="28"/>
      <c r="AD37" s="28"/>
      <c r="AE37" s="28"/>
      <c r="AF37" s="33">
        <v>7</v>
      </c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>
        <f t="shared" si="1"/>
        <v>7</v>
      </c>
      <c r="BC37" s="28"/>
    </row>
    <row r="38" spans="1:55">
      <c r="A38" s="28">
        <v>36</v>
      </c>
      <c r="B38" s="29">
        <v>501251</v>
      </c>
      <c r="C38" s="28" t="s">
        <v>233</v>
      </c>
      <c r="D38" s="28"/>
      <c r="E38" s="28">
        <v>20241014</v>
      </c>
      <c r="F38" s="28"/>
      <c r="G38" s="29" t="s">
        <v>51</v>
      </c>
      <c r="H38" s="30" t="s">
        <v>56</v>
      </c>
      <c r="I38" s="28" t="s">
        <v>57</v>
      </c>
      <c r="J38" s="28" t="s">
        <v>58</v>
      </c>
      <c r="K38" s="28"/>
      <c r="L38" s="28">
        <v>5.21</v>
      </c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 t="b">
        <f t="shared" si="0"/>
        <v>1</v>
      </c>
      <c r="Z38" s="28"/>
      <c r="AA38" s="28"/>
      <c r="AB38" s="32">
        <v>0.4</v>
      </c>
      <c r="AC38" s="28"/>
      <c r="AD38" s="28"/>
      <c r="AE38" s="32">
        <v>0.3</v>
      </c>
      <c r="AF38" s="28"/>
      <c r="AG38" s="28"/>
      <c r="AH38" s="32">
        <v>0.23</v>
      </c>
      <c r="AI38" s="32">
        <v>0.41</v>
      </c>
      <c r="AJ38" s="32">
        <v>0.41</v>
      </c>
      <c r="AK38" s="28"/>
      <c r="AL38" s="28"/>
      <c r="AM38" s="28"/>
      <c r="AN38" s="28"/>
      <c r="AO38" s="28"/>
      <c r="AP38" s="28"/>
      <c r="AQ38" s="28"/>
      <c r="AR38" s="28"/>
      <c r="AS38" s="32">
        <v>0.18</v>
      </c>
      <c r="AT38" s="28"/>
      <c r="AU38" s="28"/>
      <c r="AV38" s="32">
        <v>3</v>
      </c>
      <c r="AW38" s="28"/>
      <c r="AX38" s="32">
        <v>0.28000000000000003</v>
      </c>
      <c r="AY38" s="28"/>
      <c r="AZ38" s="28"/>
      <c r="BA38" s="28"/>
      <c r="BB38" s="28">
        <f t="shared" si="1"/>
        <v>5.21</v>
      </c>
      <c r="BC38" s="28"/>
    </row>
    <row r="39" spans="1:55">
      <c r="A39" s="28">
        <v>37</v>
      </c>
      <c r="B39" s="29">
        <v>500183</v>
      </c>
      <c r="C39" s="28" t="s">
        <v>89</v>
      </c>
      <c r="D39" s="28"/>
      <c r="E39" s="28">
        <v>20151023</v>
      </c>
      <c r="F39" s="28"/>
      <c r="G39" s="29" t="s">
        <v>51</v>
      </c>
      <c r="H39" s="30" t="s">
        <v>90</v>
      </c>
      <c r="I39" s="28" t="s">
        <v>91</v>
      </c>
      <c r="J39" s="28" t="s">
        <v>58</v>
      </c>
      <c r="K39" s="28"/>
      <c r="L39" s="28">
        <v>21.19</v>
      </c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 t="b">
        <f t="shared" si="0"/>
        <v>1</v>
      </c>
      <c r="Z39" s="28"/>
      <c r="AA39" s="32">
        <v>0.9</v>
      </c>
      <c r="AB39" s="32">
        <v>0.76</v>
      </c>
      <c r="AC39" s="32">
        <v>0.88</v>
      </c>
      <c r="AD39" s="32">
        <v>0.6</v>
      </c>
      <c r="AE39" s="32">
        <v>1.1000000000000001</v>
      </c>
      <c r="AF39" s="28"/>
      <c r="AG39" s="28"/>
      <c r="AH39" s="32">
        <v>1.08</v>
      </c>
      <c r="AI39" s="32">
        <v>0.68</v>
      </c>
      <c r="AJ39" s="32">
        <v>0.78</v>
      </c>
      <c r="AK39" s="28"/>
      <c r="AL39" s="28"/>
      <c r="AM39" s="32">
        <v>4</v>
      </c>
      <c r="AN39" s="28"/>
      <c r="AO39" s="28"/>
      <c r="AP39" s="28"/>
      <c r="AQ39" s="32">
        <v>0.83</v>
      </c>
      <c r="AR39" s="32">
        <v>0.76</v>
      </c>
      <c r="AS39" s="32">
        <v>0.65</v>
      </c>
      <c r="AT39" s="32">
        <v>4</v>
      </c>
      <c r="AU39" s="28"/>
      <c r="AV39" s="32">
        <v>0.93</v>
      </c>
      <c r="AW39" s="32">
        <v>0.88</v>
      </c>
      <c r="AX39" s="32">
        <v>0.9</v>
      </c>
      <c r="AY39" s="32">
        <v>0.85</v>
      </c>
      <c r="AZ39" s="32">
        <v>0.61</v>
      </c>
      <c r="BA39" s="28"/>
      <c r="BB39" s="28">
        <f t="shared" si="1"/>
        <v>21.19</v>
      </c>
      <c r="BC39" s="28"/>
    </row>
    <row r="40" spans="1:55">
      <c r="A40" s="28">
        <v>38</v>
      </c>
      <c r="B40" s="29">
        <v>500278</v>
      </c>
      <c r="C40" s="28" t="s">
        <v>107</v>
      </c>
      <c r="D40" s="28"/>
      <c r="E40" s="28">
        <v>20160218</v>
      </c>
      <c r="F40" s="28"/>
      <c r="G40" s="29" t="s">
        <v>51</v>
      </c>
      <c r="H40" s="30" t="s">
        <v>90</v>
      </c>
      <c r="I40" s="28" t="s">
        <v>91</v>
      </c>
      <c r="J40" s="28" t="s">
        <v>58</v>
      </c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 t="b">
        <f t="shared" si="0"/>
        <v>1</v>
      </c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>
        <f t="shared" si="1"/>
        <v>0</v>
      </c>
      <c r="BC40" s="28"/>
    </row>
    <row r="41" spans="1:55">
      <c r="A41" s="28">
        <v>39</v>
      </c>
      <c r="B41" s="29">
        <v>500546</v>
      </c>
      <c r="C41" s="28" t="s">
        <v>152</v>
      </c>
      <c r="D41" s="28"/>
      <c r="E41" s="28">
        <v>20170523</v>
      </c>
      <c r="F41" s="28"/>
      <c r="G41" s="29" t="s">
        <v>51</v>
      </c>
      <c r="H41" s="30" t="s">
        <v>90</v>
      </c>
      <c r="I41" s="28" t="s">
        <v>91</v>
      </c>
      <c r="J41" s="28" t="s">
        <v>54</v>
      </c>
      <c r="K41" s="28">
        <v>4</v>
      </c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>
        <v>83.39</v>
      </c>
      <c r="W41" s="28"/>
      <c r="X41" s="28"/>
      <c r="Y41" s="28" t="b">
        <f t="shared" si="0"/>
        <v>1</v>
      </c>
      <c r="Z41" s="28"/>
      <c r="AA41" s="36">
        <v>4.95</v>
      </c>
      <c r="AB41" s="36">
        <v>8</v>
      </c>
      <c r="AC41" s="36">
        <v>8</v>
      </c>
      <c r="AD41" s="36">
        <v>2.46</v>
      </c>
      <c r="AE41" s="36">
        <v>2.71</v>
      </c>
      <c r="AF41" s="36">
        <v>8</v>
      </c>
      <c r="AG41" s="28"/>
      <c r="AH41" s="36">
        <v>2.41</v>
      </c>
      <c r="AI41" s="36">
        <v>2.48</v>
      </c>
      <c r="AJ41" s="36">
        <v>6.75</v>
      </c>
      <c r="AK41" s="28"/>
      <c r="AL41" s="28"/>
      <c r="AM41" s="31">
        <v>4</v>
      </c>
      <c r="AN41" s="28"/>
      <c r="AO41" s="28"/>
      <c r="AP41" s="28"/>
      <c r="AQ41" s="36">
        <v>2.5099999999999998</v>
      </c>
      <c r="AR41" s="36">
        <v>2.5299999999999998</v>
      </c>
      <c r="AS41" s="36">
        <v>8</v>
      </c>
      <c r="AT41" s="36">
        <v>2.38</v>
      </c>
      <c r="AU41" s="28"/>
      <c r="AV41" s="36">
        <v>1.98</v>
      </c>
      <c r="AW41" s="36">
        <v>2.0499999999999998</v>
      </c>
      <c r="AX41" s="36">
        <v>6.26</v>
      </c>
      <c r="AY41" s="36">
        <v>8</v>
      </c>
      <c r="AZ41" s="36">
        <v>1.91</v>
      </c>
      <c r="BA41" s="36">
        <v>2.0099999999999998</v>
      </c>
      <c r="BB41" s="28">
        <f t="shared" si="1"/>
        <v>87.39</v>
      </c>
      <c r="BC41" s="28"/>
    </row>
    <row r="42" spans="1:55">
      <c r="A42" s="28">
        <v>40</v>
      </c>
      <c r="B42" s="29">
        <v>500793</v>
      </c>
      <c r="C42" s="28" t="s">
        <v>171</v>
      </c>
      <c r="D42" s="28"/>
      <c r="E42" s="28">
        <v>20180911</v>
      </c>
      <c r="F42" s="28"/>
      <c r="G42" s="29" t="s">
        <v>51</v>
      </c>
      <c r="H42" s="30" t="s">
        <v>90</v>
      </c>
      <c r="I42" s="28" t="s">
        <v>91</v>
      </c>
      <c r="J42" s="28" t="s">
        <v>58</v>
      </c>
      <c r="K42" s="28"/>
      <c r="L42" s="28"/>
      <c r="M42" s="28"/>
      <c r="N42" s="28"/>
      <c r="O42" s="28">
        <v>16</v>
      </c>
      <c r="P42" s="28"/>
      <c r="Q42" s="28"/>
      <c r="R42" s="28"/>
      <c r="S42" s="28"/>
      <c r="T42" s="28"/>
      <c r="U42" s="28"/>
      <c r="V42" s="28"/>
      <c r="W42" s="28"/>
      <c r="X42" s="28"/>
      <c r="Y42" s="28" t="b">
        <f t="shared" si="0"/>
        <v>1</v>
      </c>
      <c r="Z42" s="28"/>
      <c r="AA42" s="28"/>
      <c r="AB42" s="28"/>
      <c r="AC42" s="28"/>
      <c r="AD42" s="33">
        <v>8</v>
      </c>
      <c r="AE42" s="28"/>
      <c r="AF42" s="28"/>
      <c r="AG42" s="28"/>
      <c r="AH42" s="28"/>
      <c r="AI42" s="28"/>
      <c r="AJ42" s="33">
        <v>8</v>
      </c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>
        <f t="shared" si="1"/>
        <v>16</v>
      </c>
      <c r="BC42" s="28"/>
    </row>
    <row r="43" spans="1:55">
      <c r="A43" s="28">
        <v>41</v>
      </c>
      <c r="B43" s="29">
        <v>501058</v>
      </c>
      <c r="C43" s="28" t="s">
        <v>194</v>
      </c>
      <c r="D43" s="28"/>
      <c r="E43" s="28">
        <v>20210622</v>
      </c>
      <c r="F43" s="28"/>
      <c r="G43" s="29" t="s">
        <v>51</v>
      </c>
      <c r="H43" s="30" t="s">
        <v>90</v>
      </c>
      <c r="I43" s="28" t="s">
        <v>91</v>
      </c>
      <c r="J43" s="28" t="s">
        <v>58</v>
      </c>
      <c r="K43" s="28"/>
      <c r="L43" s="28"/>
      <c r="M43" s="28"/>
      <c r="N43" s="28"/>
      <c r="O43" s="28">
        <v>7</v>
      </c>
      <c r="P43" s="28"/>
      <c r="Q43" s="28"/>
      <c r="R43" s="28"/>
      <c r="S43" s="28"/>
      <c r="T43" s="28"/>
      <c r="U43" s="28"/>
      <c r="V43" s="28"/>
      <c r="W43" s="28"/>
      <c r="X43" s="28"/>
      <c r="Y43" s="28" t="b">
        <f t="shared" si="0"/>
        <v>1</v>
      </c>
      <c r="Z43" s="28"/>
      <c r="AA43" s="28"/>
      <c r="AB43" s="28"/>
      <c r="AC43" s="28"/>
      <c r="AD43" s="28"/>
      <c r="AE43" s="28"/>
      <c r="AF43" s="33">
        <v>7</v>
      </c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>
        <f t="shared" si="1"/>
        <v>7</v>
      </c>
      <c r="BC43" s="28"/>
    </row>
    <row r="44" spans="1:55">
      <c r="A44" s="28">
        <v>42</v>
      </c>
      <c r="B44" s="29">
        <v>501088</v>
      </c>
      <c r="C44" s="28" t="s">
        <v>198</v>
      </c>
      <c r="D44" s="28"/>
      <c r="E44" s="28">
        <v>20211123</v>
      </c>
      <c r="F44" s="28"/>
      <c r="G44" s="29" t="s">
        <v>51</v>
      </c>
      <c r="H44" s="30" t="s">
        <v>90</v>
      </c>
      <c r="I44" s="28" t="s">
        <v>91</v>
      </c>
      <c r="J44" s="28" t="s">
        <v>58</v>
      </c>
      <c r="K44" s="28"/>
      <c r="L44" s="28">
        <v>3.46</v>
      </c>
      <c r="M44" s="28"/>
      <c r="N44" s="28"/>
      <c r="O44" s="28">
        <v>7</v>
      </c>
      <c r="P44" s="28"/>
      <c r="Q44" s="28"/>
      <c r="R44" s="28"/>
      <c r="S44" s="28"/>
      <c r="T44" s="28"/>
      <c r="U44" s="28"/>
      <c r="V44" s="28"/>
      <c r="W44" s="28"/>
      <c r="X44" s="28"/>
      <c r="Y44" s="28" t="b">
        <f t="shared" si="0"/>
        <v>1</v>
      </c>
      <c r="Z44" s="28"/>
      <c r="AA44" s="28"/>
      <c r="AB44" s="28"/>
      <c r="AC44" s="28"/>
      <c r="AD44" s="28"/>
      <c r="AE44" s="28"/>
      <c r="AF44" s="28"/>
      <c r="AG44" s="28"/>
      <c r="AH44" s="28"/>
      <c r="AI44" s="32">
        <v>0.26</v>
      </c>
      <c r="AJ44" s="28"/>
      <c r="AK44" s="28"/>
      <c r="AL44" s="28"/>
      <c r="AM44" s="28"/>
      <c r="AN44" s="28"/>
      <c r="AO44" s="28"/>
      <c r="AP44" s="28"/>
      <c r="AQ44" s="32">
        <v>0.2</v>
      </c>
      <c r="AR44" s="28"/>
      <c r="AS44" s="32">
        <v>3</v>
      </c>
      <c r="AT44" s="28"/>
      <c r="AU44" s="28"/>
      <c r="AV44" s="33">
        <v>7</v>
      </c>
      <c r="AW44" s="28"/>
      <c r="AX44" s="28"/>
      <c r="AY44" s="28"/>
      <c r="AZ44" s="28"/>
      <c r="BA44" s="28"/>
      <c r="BB44" s="28">
        <f t="shared" si="1"/>
        <v>10.46</v>
      </c>
      <c r="BC44" s="28"/>
    </row>
    <row r="45" spans="1:55">
      <c r="A45" s="28">
        <v>43</v>
      </c>
      <c r="B45" s="29">
        <v>501091</v>
      </c>
      <c r="C45" s="28" t="s">
        <v>199</v>
      </c>
      <c r="D45" s="28"/>
      <c r="E45" s="28">
        <v>20211125</v>
      </c>
      <c r="F45" s="28"/>
      <c r="G45" s="29" t="s">
        <v>51</v>
      </c>
      <c r="H45" s="30" t="s">
        <v>90</v>
      </c>
      <c r="I45" s="28" t="s">
        <v>91</v>
      </c>
      <c r="J45" s="28" t="s">
        <v>58</v>
      </c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 t="b">
        <f t="shared" si="0"/>
        <v>1</v>
      </c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>
        <f t="shared" si="1"/>
        <v>0</v>
      </c>
      <c r="BC45" s="28"/>
    </row>
    <row r="46" spans="1:55">
      <c r="A46" s="28">
        <v>44</v>
      </c>
      <c r="B46" s="29">
        <v>501109</v>
      </c>
      <c r="C46" s="28" t="s">
        <v>201</v>
      </c>
      <c r="D46" s="28"/>
      <c r="E46" s="28">
        <v>20220127</v>
      </c>
      <c r="F46" s="28"/>
      <c r="G46" s="29" t="s">
        <v>51</v>
      </c>
      <c r="H46" s="30" t="s">
        <v>90</v>
      </c>
      <c r="I46" s="28" t="s">
        <v>91</v>
      </c>
      <c r="J46" s="28" t="s">
        <v>58</v>
      </c>
      <c r="K46" s="28"/>
      <c r="L46" s="28">
        <v>3.0700000000000003</v>
      </c>
      <c r="M46" s="28"/>
      <c r="N46" s="28"/>
      <c r="O46" s="28">
        <v>21</v>
      </c>
      <c r="P46" s="28"/>
      <c r="Q46" s="28"/>
      <c r="R46" s="28"/>
      <c r="S46" s="28"/>
      <c r="T46" s="28"/>
      <c r="U46" s="28"/>
      <c r="V46" s="28"/>
      <c r="W46" s="28"/>
      <c r="X46" s="28"/>
      <c r="Y46" s="28" t="b">
        <f t="shared" si="0"/>
        <v>1</v>
      </c>
      <c r="Z46" s="28"/>
      <c r="AA46" s="28"/>
      <c r="AB46" s="28"/>
      <c r="AC46" s="28"/>
      <c r="AD46" s="32">
        <v>0.21</v>
      </c>
      <c r="AE46" s="28"/>
      <c r="AF46" s="28"/>
      <c r="AG46" s="28"/>
      <c r="AH46" s="28"/>
      <c r="AI46" s="28"/>
      <c r="AJ46" s="32">
        <v>1.03</v>
      </c>
      <c r="AK46" s="28"/>
      <c r="AL46" s="28"/>
      <c r="AM46" s="28"/>
      <c r="AN46" s="33">
        <v>7</v>
      </c>
      <c r="AO46" s="28"/>
      <c r="AP46" s="28"/>
      <c r="AQ46" s="32">
        <v>0.4</v>
      </c>
      <c r="AR46" s="32">
        <v>0.33</v>
      </c>
      <c r="AS46" s="32">
        <v>0.31</v>
      </c>
      <c r="AT46" s="28"/>
      <c r="AU46" s="33">
        <v>7</v>
      </c>
      <c r="AV46" s="32">
        <v>0.25</v>
      </c>
      <c r="AW46" s="33">
        <v>7</v>
      </c>
      <c r="AX46" s="32">
        <v>0.36</v>
      </c>
      <c r="AY46" s="28"/>
      <c r="AZ46" s="32">
        <v>0.18</v>
      </c>
      <c r="BA46" s="28"/>
      <c r="BB46" s="28">
        <f t="shared" si="1"/>
        <v>24.07</v>
      </c>
      <c r="BC46" s="28"/>
    </row>
    <row r="47" spans="1:55">
      <c r="A47" s="28">
        <v>45</v>
      </c>
      <c r="B47" s="29">
        <v>501238</v>
      </c>
      <c r="C47" s="28" t="s">
        <v>223</v>
      </c>
      <c r="D47" s="28"/>
      <c r="E47" s="28">
        <v>20240822</v>
      </c>
      <c r="F47" s="28"/>
      <c r="G47" s="29" t="s">
        <v>51</v>
      </c>
      <c r="H47" s="30" t="s">
        <v>90</v>
      </c>
      <c r="I47" s="28" t="s">
        <v>91</v>
      </c>
      <c r="J47" s="28" t="s">
        <v>58</v>
      </c>
      <c r="K47" s="28"/>
      <c r="L47" s="28">
        <v>8.1199999999999992</v>
      </c>
      <c r="M47" s="28"/>
      <c r="N47" s="28"/>
      <c r="O47" s="28">
        <v>8</v>
      </c>
      <c r="P47" s="28"/>
      <c r="Q47" s="28"/>
      <c r="R47" s="28"/>
      <c r="S47" s="28"/>
      <c r="T47" s="28"/>
      <c r="U47" s="28"/>
      <c r="V47" s="28"/>
      <c r="W47" s="28"/>
      <c r="X47" s="28"/>
      <c r="Y47" s="28" t="b">
        <f t="shared" si="0"/>
        <v>1</v>
      </c>
      <c r="Z47" s="28"/>
      <c r="AA47" s="28"/>
      <c r="AB47" s="32">
        <v>0.21</v>
      </c>
      <c r="AC47" s="28"/>
      <c r="AD47" s="32">
        <v>0.38</v>
      </c>
      <c r="AE47" s="32">
        <v>0.3</v>
      </c>
      <c r="AF47" s="32">
        <v>0.4</v>
      </c>
      <c r="AG47" s="28"/>
      <c r="AH47" s="28"/>
      <c r="AI47" s="32">
        <v>0.88</v>
      </c>
      <c r="AJ47" s="32">
        <v>0.28000000000000003</v>
      </c>
      <c r="AK47" s="28"/>
      <c r="AL47" s="28"/>
      <c r="AM47" s="32">
        <v>0.9</v>
      </c>
      <c r="AN47" s="28"/>
      <c r="AO47" s="28"/>
      <c r="AP47" s="28"/>
      <c r="AQ47" s="32">
        <v>0.91</v>
      </c>
      <c r="AR47" s="32">
        <v>1</v>
      </c>
      <c r="AS47" s="32">
        <v>0.68</v>
      </c>
      <c r="AT47" s="32">
        <v>0.2</v>
      </c>
      <c r="AU47" s="28"/>
      <c r="AV47" s="33">
        <v>8</v>
      </c>
      <c r="AW47" s="28"/>
      <c r="AX47" s="32">
        <v>1.1599999999999999</v>
      </c>
      <c r="AY47" s="28"/>
      <c r="AZ47" s="32">
        <v>0.41</v>
      </c>
      <c r="BA47" s="32">
        <v>0.41</v>
      </c>
      <c r="BB47" s="28">
        <f t="shared" si="1"/>
        <v>16.12</v>
      </c>
      <c r="BC47" s="28"/>
    </row>
    <row r="48" spans="1:55">
      <c r="A48" s="28">
        <v>46</v>
      </c>
      <c r="B48" s="29">
        <v>501269</v>
      </c>
      <c r="C48" s="28" t="s">
        <v>244</v>
      </c>
      <c r="D48" s="28"/>
      <c r="E48" s="28">
        <v>20250310</v>
      </c>
      <c r="F48" s="28"/>
      <c r="G48" s="29" t="s">
        <v>51</v>
      </c>
      <c r="H48" s="30" t="s">
        <v>90</v>
      </c>
      <c r="I48" s="28" t="s">
        <v>91</v>
      </c>
      <c r="J48" s="28" t="s">
        <v>58</v>
      </c>
      <c r="K48" s="28">
        <v>7</v>
      </c>
      <c r="L48" s="28">
        <v>14</v>
      </c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 t="b">
        <f t="shared" si="0"/>
        <v>1</v>
      </c>
      <c r="Z48" s="28"/>
      <c r="AA48" s="28"/>
      <c r="AB48" s="28"/>
      <c r="AC48" s="28"/>
      <c r="AD48" s="28"/>
      <c r="AE48" s="28"/>
      <c r="AF48" s="31">
        <v>7</v>
      </c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32">
        <v>7</v>
      </c>
      <c r="AU48" s="28"/>
      <c r="AV48" s="28"/>
      <c r="AW48" s="28"/>
      <c r="AX48" s="28"/>
      <c r="AY48" s="28"/>
      <c r="AZ48" s="28"/>
      <c r="BA48" s="32">
        <v>7</v>
      </c>
      <c r="BB48" s="28">
        <f t="shared" si="1"/>
        <v>21</v>
      </c>
      <c r="BC48" s="28"/>
    </row>
    <row r="49" spans="1:55">
      <c r="A49" s="28">
        <v>47</v>
      </c>
      <c r="B49" s="29">
        <v>500042</v>
      </c>
      <c r="C49" s="28" t="s">
        <v>73</v>
      </c>
      <c r="D49" s="28"/>
      <c r="E49" s="28">
        <v>20150305</v>
      </c>
      <c r="F49" s="28"/>
      <c r="G49" s="29" t="s">
        <v>51</v>
      </c>
      <c r="H49" s="30" t="s">
        <v>74</v>
      </c>
      <c r="I49" s="28" t="s">
        <v>75</v>
      </c>
      <c r="J49" s="28" t="s">
        <v>58</v>
      </c>
      <c r="K49" s="28">
        <v>20</v>
      </c>
      <c r="L49" s="28"/>
      <c r="M49" s="28"/>
      <c r="N49" s="28"/>
      <c r="O49" s="28">
        <v>48</v>
      </c>
      <c r="P49" s="28"/>
      <c r="Q49" s="28"/>
      <c r="R49" s="28"/>
      <c r="S49" s="28"/>
      <c r="T49" s="28"/>
      <c r="U49" s="28"/>
      <c r="V49" s="28"/>
      <c r="W49" s="28"/>
      <c r="X49" s="28"/>
      <c r="Y49" s="28" t="b">
        <f t="shared" si="0"/>
        <v>1</v>
      </c>
      <c r="Z49" s="28"/>
      <c r="AA49" s="28"/>
      <c r="AB49" s="28"/>
      <c r="AC49" s="28"/>
      <c r="AD49" s="28"/>
      <c r="AE49" s="31">
        <v>8</v>
      </c>
      <c r="AF49" s="31">
        <v>4</v>
      </c>
      <c r="AG49" s="28"/>
      <c r="AH49" s="28"/>
      <c r="AI49" s="31">
        <v>8</v>
      </c>
      <c r="AJ49" s="28"/>
      <c r="AK49" s="28"/>
      <c r="AL49" s="28"/>
      <c r="AM49" s="28"/>
      <c r="AN49" s="28"/>
      <c r="AO49" s="28"/>
      <c r="AP49" s="28"/>
      <c r="AQ49" s="28"/>
      <c r="AR49" s="33">
        <v>8</v>
      </c>
      <c r="AS49" s="33">
        <v>8</v>
      </c>
      <c r="AT49" s="28"/>
      <c r="AU49" s="28"/>
      <c r="AV49" s="28"/>
      <c r="AW49" s="28"/>
      <c r="AX49" s="33">
        <v>8</v>
      </c>
      <c r="AY49" s="33">
        <v>8</v>
      </c>
      <c r="AZ49" s="33">
        <v>8</v>
      </c>
      <c r="BA49" s="33">
        <v>8</v>
      </c>
      <c r="BB49" s="28">
        <f t="shared" si="1"/>
        <v>68</v>
      </c>
      <c r="BC49" s="28"/>
    </row>
    <row r="50" spans="1:55">
      <c r="A50" s="28">
        <v>48</v>
      </c>
      <c r="B50" s="29">
        <v>500126</v>
      </c>
      <c r="C50" s="28" t="s">
        <v>87</v>
      </c>
      <c r="D50" s="28"/>
      <c r="E50" s="28">
        <v>20150729</v>
      </c>
      <c r="F50" s="28"/>
      <c r="G50" s="29" t="s">
        <v>51</v>
      </c>
      <c r="H50" s="30" t="s">
        <v>74</v>
      </c>
      <c r="I50" s="28" t="s">
        <v>75</v>
      </c>
      <c r="J50" s="28" t="s">
        <v>58</v>
      </c>
      <c r="K50" s="28"/>
      <c r="L50" s="28">
        <v>6.39</v>
      </c>
      <c r="M50" s="28">
        <v>8</v>
      </c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 t="b">
        <f t="shared" si="0"/>
        <v>1</v>
      </c>
      <c r="Z50" s="28"/>
      <c r="AA50" s="32">
        <v>0.61</v>
      </c>
      <c r="AB50" s="32">
        <v>0.38</v>
      </c>
      <c r="AC50" s="28"/>
      <c r="AD50" s="32">
        <v>0.43</v>
      </c>
      <c r="AE50" s="32">
        <v>0.48</v>
      </c>
      <c r="AF50" s="32">
        <v>0.46</v>
      </c>
      <c r="AG50" s="28"/>
      <c r="AH50" s="28"/>
      <c r="AI50" s="32">
        <v>0.45</v>
      </c>
      <c r="AJ50" s="32">
        <v>0.5</v>
      </c>
      <c r="AK50" s="28"/>
      <c r="AL50" s="28"/>
      <c r="AM50" s="32">
        <v>0.41</v>
      </c>
      <c r="AN50" s="28"/>
      <c r="AO50" s="28"/>
      <c r="AP50" s="28"/>
      <c r="AQ50" s="32">
        <v>0.45</v>
      </c>
      <c r="AR50" s="32">
        <v>0.41</v>
      </c>
      <c r="AS50" s="28"/>
      <c r="AT50" s="32">
        <v>0.45</v>
      </c>
      <c r="AU50" s="28"/>
      <c r="AV50" s="34">
        <v>8</v>
      </c>
      <c r="AW50" s="28"/>
      <c r="AX50" s="32">
        <v>0.5</v>
      </c>
      <c r="AY50" s="32">
        <v>0.55000000000000004</v>
      </c>
      <c r="AZ50" s="32">
        <v>0.31</v>
      </c>
      <c r="BA50" s="28"/>
      <c r="BB50" s="28">
        <f t="shared" si="1"/>
        <v>14.390000000000002</v>
      </c>
      <c r="BC50" s="28"/>
    </row>
    <row r="51" spans="1:55">
      <c r="A51" s="28">
        <v>49</v>
      </c>
      <c r="B51" s="29">
        <v>500226</v>
      </c>
      <c r="C51" s="28" t="s">
        <v>100</v>
      </c>
      <c r="D51" s="28"/>
      <c r="E51" s="28">
        <v>20151210</v>
      </c>
      <c r="F51" s="28"/>
      <c r="G51" s="29" t="s">
        <v>51</v>
      </c>
      <c r="H51" s="30" t="s">
        <v>74</v>
      </c>
      <c r="I51" s="28" t="s">
        <v>75</v>
      </c>
      <c r="J51" s="28" t="s">
        <v>54</v>
      </c>
      <c r="K51" s="28">
        <v>8</v>
      </c>
      <c r="L51" s="28">
        <v>2.8800000000000003</v>
      </c>
      <c r="M51" s="28">
        <v>16</v>
      </c>
      <c r="N51" s="28"/>
      <c r="O51" s="28">
        <v>16</v>
      </c>
      <c r="P51" s="28"/>
      <c r="Q51" s="28"/>
      <c r="R51" s="28"/>
      <c r="S51" s="28"/>
      <c r="T51" s="28"/>
      <c r="U51" s="28"/>
      <c r="V51" s="28"/>
      <c r="W51" s="28"/>
      <c r="X51" s="28"/>
      <c r="Y51" s="28" t="b">
        <f t="shared" si="0"/>
        <v>1</v>
      </c>
      <c r="Z51" s="28"/>
      <c r="AA51" s="32">
        <v>0.4</v>
      </c>
      <c r="AB51" s="33">
        <v>8</v>
      </c>
      <c r="AC51" s="28"/>
      <c r="AD51" s="28"/>
      <c r="AE51" s="32">
        <v>0.25</v>
      </c>
      <c r="AF51" s="28"/>
      <c r="AG51" s="28"/>
      <c r="AH51" s="34">
        <v>8</v>
      </c>
      <c r="AI51" s="32">
        <v>0.71</v>
      </c>
      <c r="AJ51" s="28"/>
      <c r="AK51" s="28"/>
      <c r="AL51" s="28"/>
      <c r="AM51" s="32">
        <v>0.66</v>
      </c>
      <c r="AN51" s="28"/>
      <c r="AO51" s="28"/>
      <c r="AP51" s="28"/>
      <c r="AQ51" s="32">
        <v>0.55000000000000004</v>
      </c>
      <c r="AR51" s="34">
        <v>8</v>
      </c>
      <c r="AS51" s="32">
        <v>0.31</v>
      </c>
      <c r="AT51" s="28"/>
      <c r="AU51" s="28"/>
      <c r="AV51" s="31">
        <v>8</v>
      </c>
      <c r="AW51" s="28"/>
      <c r="AX51" s="28"/>
      <c r="AY51" s="33">
        <v>8</v>
      </c>
      <c r="AZ51" s="28"/>
      <c r="BA51" s="28"/>
      <c r="BB51" s="28">
        <f t="shared" si="1"/>
        <v>42.879999999999995</v>
      </c>
      <c r="BC51" s="28"/>
    </row>
    <row r="52" spans="1:55">
      <c r="A52" s="28">
        <v>50</v>
      </c>
      <c r="B52" s="29">
        <v>500366</v>
      </c>
      <c r="C52" s="28" t="s">
        <v>123</v>
      </c>
      <c r="D52" s="28"/>
      <c r="E52" s="28">
        <v>20160901</v>
      </c>
      <c r="F52" s="28"/>
      <c r="G52" s="29" t="s">
        <v>51</v>
      </c>
      <c r="H52" s="30" t="s">
        <v>74</v>
      </c>
      <c r="I52" s="28" t="s">
        <v>75</v>
      </c>
      <c r="J52" s="28" t="s">
        <v>54</v>
      </c>
      <c r="K52" s="28">
        <v>8</v>
      </c>
      <c r="L52" s="28">
        <v>0.31</v>
      </c>
      <c r="M52" s="28"/>
      <c r="N52" s="28"/>
      <c r="O52" s="28">
        <v>8</v>
      </c>
      <c r="P52" s="28"/>
      <c r="Q52" s="28"/>
      <c r="R52" s="28"/>
      <c r="S52" s="28"/>
      <c r="T52" s="28"/>
      <c r="U52" s="28"/>
      <c r="V52" s="28"/>
      <c r="W52" s="28"/>
      <c r="X52" s="28"/>
      <c r="Y52" s="28" t="b">
        <f t="shared" si="0"/>
        <v>1</v>
      </c>
      <c r="Z52" s="28"/>
      <c r="AA52" s="31">
        <v>8</v>
      </c>
      <c r="AB52" s="28"/>
      <c r="AC52" s="28"/>
      <c r="AD52" s="28"/>
      <c r="AE52" s="28"/>
      <c r="AF52" s="33">
        <v>8</v>
      </c>
      <c r="AG52" s="28"/>
      <c r="AH52" s="28"/>
      <c r="AI52" s="32">
        <v>0.31</v>
      </c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>
        <f t="shared" si="1"/>
        <v>16.309999999999999</v>
      </c>
      <c r="BC52" s="28"/>
    </row>
    <row r="53" spans="1:55">
      <c r="A53" s="28">
        <v>51</v>
      </c>
      <c r="B53" s="29">
        <v>500436</v>
      </c>
      <c r="C53" s="28" t="s">
        <v>138</v>
      </c>
      <c r="D53" s="28"/>
      <c r="E53" s="28">
        <v>20161227</v>
      </c>
      <c r="F53" s="28"/>
      <c r="G53" s="29" t="s">
        <v>51</v>
      </c>
      <c r="H53" s="30" t="s">
        <v>74</v>
      </c>
      <c r="I53" s="28" t="s">
        <v>75</v>
      </c>
      <c r="J53" s="28" t="s">
        <v>54</v>
      </c>
      <c r="K53" s="28"/>
      <c r="L53" s="28">
        <v>3.8100000000000005</v>
      </c>
      <c r="M53" s="28">
        <v>16</v>
      </c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 t="b">
        <f t="shared" si="0"/>
        <v>1</v>
      </c>
      <c r="Z53" s="28"/>
      <c r="AA53" s="32">
        <v>0.28000000000000003</v>
      </c>
      <c r="AB53" s="34">
        <v>8</v>
      </c>
      <c r="AC53" s="34">
        <v>8</v>
      </c>
      <c r="AD53" s="28"/>
      <c r="AE53" s="28"/>
      <c r="AF53" s="32">
        <v>0.57999999999999996</v>
      </c>
      <c r="AG53" s="28"/>
      <c r="AH53" s="28"/>
      <c r="AI53" s="28"/>
      <c r="AJ53" s="28"/>
      <c r="AK53" s="28"/>
      <c r="AL53" s="28"/>
      <c r="AM53" s="32">
        <v>0.98</v>
      </c>
      <c r="AN53" s="28"/>
      <c r="AO53" s="28"/>
      <c r="AP53" s="28"/>
      <c r="AQ53" s="32">
        <v>0.51</v>
      </c>
      <c r="AR53" s="32">
        <v>0.18</v>
      </c>
      <c r="AS53" s="32">
        <v>0.18</v>
      </c>
      <c r="AT53" s="32">
        <v>0.48</v>
      </c>
      <c r="AU53" s="28"/>
      <c r="AV53" s="32">
        <v>0.26</v>
      </c>
      <c r="AW53" s="28"/>
      <c r="AX53" s="28"/>
      <c r="AY53" s="28"/>
      <c r="AZ53" s="32">
        <v>0.18</v>
      </c>
      <c r="BA53" s="32">
        <v>0.18</v>
      </c>
      <c r="BB53" s="28">
        <f t="shared" si="1"/>
        <v>19.810000000000002</v>
      </c>
      <c r="BC53" s="28"/>
    </row>
    <row r="54" spans="1:55">
      <c r="A54" s="28">
        <v>52</v>
      </c>
      <c r="B54" s="29">
        <v>500570</v>
      </c>
      <c r="C54" s="28" t="s">
        <v>92</v>
      </c>
      <c r="D54" s="28"/>
      <c r="E54" s="28">
        <v>20170704</v>
      </c>
      <c r="F54" s="28"/>
      <c r="G54" s="29" t="s">
        <v>51</v>
      </c>
      <c r="H54" s="30" t="s">
        <v>74</v>
      </c>
      <c r="I54" s="28" t="s">
        <v>75</v>
      </c>
      <c r="J54" s="28" t="s">
        <v>54</v>
      </c>
      <c r="K54" s="28"/>
      <c r="L54" s="28">
        <v>6.21</v>
      </c>
      <c r="M54" s="28"/>
      <c r="N54" s="28"/>
      <c r="O54" s="28">
        <v>8</v>
      </c>
      <c r="P54" s="28"/>
      <c r="Q54" s="28"/>
      <c r="R54" s="28"/>
      <c r="S54" s="28"/>
      <c r="T54" s="28"/>
      <c r="U54" s="28"/>
      <c r="V54" s="28"/>
      <c r="W54" s="28"/>
      <c r="X54" s="28"/>
      <c r="Y54" s="28" t="b">
        <f t="shared" si="0"/>
        <v>1</v>
      </c>
      <c r="Z54" s="28"/>
      <c r="AA54" s="28"/>
      <c r="AB54" s="32">
        <v>0.28000000000000003</v>
      </c>
      <c r="AC54" s="32">
        <v>0.45</v>
      </c>
      <c r="AD54" s="28"/>
      <c r="AE54" s="32">
        <v>0.61</v>
      </c>
      <c r="AF54" s="32">
        <v>0.65</v>
      </c>
      <c r="AG54" s="28"/>
      <c r="AH54" s="32">
        <v>0.88</v>
      </c>
      <c r="AI54" s="32">
        <v>0.55000000000000004</v>
      </c>
      <c r="AJ54" s="32">
        <v>0.55000000000000004</v>
      </c>
      <c r="AK54" s="28"/>
      <c r="AL54" s="28"/>
      <c r="AM54" s="33">
        <v>8</v>
      </c>
      <c r="AN54" s="28"/>
      <c r="AO54" s="28"/>
      <c r="AP54" s="28"/>
      <c r="AQ54" s="28"/>
      <c r="AR54" s="28"/>
      <c r="AS54" s="32">
        <v>0.3</v>
      </c>
      <c r="AT54" s="28"/>
      <c r="AU54" s="28"/>
      <c r="AV54" s="32">
        <v>0.5</v>
      </c>
      <c r="AW54" s="28"/>
      <c r="AX54" s="32">
        <v>0.43</v>
      </c>
      <c r="AY54" s="32">
        <v>0.48</v>
      </c>
      <c r="AZ54" s="32">
        <v>0.2</v>
      </c>
      <c r="BA54" s="32">
        <v>0.33</v>
      </c>
      <c r="BB54" s="28">
        <f t="shared" si="1"/>
        <v>14.209999999999999</v>
      </c>
      <c r="BC54" s="28"/>
    </row>
    <row r="55" spans="1:55">
      <c r="A55" s="28">
        <v>53</v>
      </c>
      <c r="B55" s="29">
        <v>500629</v>
      </c>
      <c r="C55" s="28" t="s">
        <v>156</v>
      </c>
      <c r="D55" s="28"/>
      <c r="E55" s="28">
        <v>20170919</v>
      </c>
      <c r="F55" s="28"/>
      <c r="G55" s="29" t="s">
        <v>51</v>
      </c>
      <c r="H55" s="30" t="s">
        <v>74</v>
      </c>
      <c r="I55" s="28" t="s">
        <v>75</v>
      </c>
      <c r="J55" s="28" t="s">
        <v>58</v>
      </c>
      <c r="K55" s="28"/>
      <c r="L55" s="28"/>
      <c r="M55" s="28">
        <v>7</v>
      </c>
      <c r="N55" s="28"/>
      <c r="O55" s="28">
        <v>7</v>
      </c>
      <c r="P55" s="28"/>
      <c r="Q55" s="28"/>
      <c r="R55" s="28"/>
      <c r="S55" s="28"/>
      <c r="T55" s="28"/>
      <c r="U55" s="28"/>
      <c r="V55" s="28"/>
      <c r="W55" s="28"/>
      <c r="X55" s="28"/>
      <c r="Y55" s="28" t="b">
        <f t="shared" si="0"/>
        <v>1</v>
      </c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33">
        <v>7</v>
      </c>
      <c r="AN55" s="28"/>
      <c r="AO55" s="28"/>
      <c r="AP55" s="28"/>
      <c r="AQ55" s="28"/>
      <c r="AR55" s="28"/>
      <c r="AS55" s="28"/>
      <c r="AT55" s="34">
        <v>7</v>
      </c>
      <c r="AU55" s="28"/>
      <c r="AV55" s="28"/>
      <c r="AW55" s="28"/>
      <c r="AX55" s="28"/>
      <c r="AY55" s="28"/>
      <c r="AZ55" s="28"/>
      <c r="BA55" s="28"/>
      <c r="BB55" s="28">
        <f t="shared" si="1"/>
        <v>14</v>
      </c>
      <c r="BC55" s="28"/>
    </row>
    <row r="56" spans="1:55">
      <c r="A56" s="28">
        <v>54</v>
      </c>
      <c r="B56" s="29">
        <v>500683</v>
      </c>
      <c r="C56" s="28" t="s">
        <v>158</v>
      </c>
      <c r="D56" s="28"/>
      <c r="E56" s="28">
        <v>20180201</v>
      </c>
      <c r="F56" s="28"/>
      <c r="G56" s="29" t="s">
        <v>51</v>
      </c>
      <c r="H56" s="30" t="s">
        <v>74</v>
      </c>
      <c r="I56" s="28" t="s">
        <v>75</v>
      </c>
      <c r="J56" s="28" t="s">
        <v>58</v>
      </c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 t="b">
        <f t="shared" si="0"/>
        <v>1</v>
      </c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>
        <f t="shared" si="1"/>
        <v>0</v>
      </c>
      <c r="BC56" s="28"/>
    </row>
    <row r="57" spans="1:55">
      <c r="A57" s="28">
        <v>55</v>
      </c>
      <c r="B57" s="29">
        <v>500699</v>
      </c>
      <c r="C57" s="28" t="s">
        <v>161</v>
      </c>
      <c r="D57" s="28"/>
      <c r="E57" s="28">
        <v>20180306</v>
      </c>
      <c r="F57" s="28"/>
      <c r="G57" s="29" t="s">
        <v>51</v>
      </c>
      <c r="H57" s="30" t="s">
        <v>74</v>
      </c>
      <c r="I57" s="28" t="s">
        <v>75</v>
      </c>
      <c r="J57" s="28" t="s">
        <v>54</v>
      </c>
      <c r="K57" s="28">
        <v>4</v>
      </c>
      <c r="L57" s="28"/>
      <c r="M57" s="28">
        <v>4</v>
      </c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 t="b">
        <f t="shared" si="0"/>
        <v>1</v>
      </c>
      <c r="Z57" s="28"/>
      <c r="AA57" s="28"/>
      <c r="AB57" s="28"/>
      <c r="AC57" s="28"/>
      <c r="AD57" s="28"/>
      <c r="AE57" s="28"/>
      <c r="AF57" s="31">
        <v>4</v>
      </c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34">
        <v>4</v>
      </c>
      <c r="BB57" s="28">
        <f t="shared" si="1"/>
        <v>8</v>
      </c>
      <c r="BC57" s="28"/>
    </row>
    <row r="58" spans="1:55">
      <c r="A58" s="28">
        <v>56</v>
      </c>
      <c r="B58" s="29">
        <v>500995</v>
      </c>
      <c r="C58" s="28" t="s">
        <v>191</v>
      </c>
      <c r="D58" s="28"/>
      <c r="E58" s="28">
        <v>20200514</v>
      </c>
      <c r="F58" s="28"/>
      <c r="G58" s="29" t="s">
        <v>51</v>
      </c>
      <c r="H58" s="30" t="s">
        <v>74</v>
      </c>
      <c r="I58" s="28" t="s">
        <v>75</v>
      </c>
      <c r="J58" s="28" t="s">
        <v>58</v>
      </c>
      <c r="K58" s="28">
        <v>7</v>
      </c>
      <c r="L58" s="28"/>
      <c r="M58" s="28">
        <v>14</v>
      </c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 t="b">
        <f t="shared" si="0"/>
        <v>1</v>
      </c>
      <c r="Z58" s="28"/>
      <c r="AA58" s="28"/>
      <c r="AB58" s="28"/>
      <c r="AC58" s="28"/>
      <c r="AD58" s="28"/>
      <c r="AE58" s="28"/>
      <c r="AF58" s="28"/>
      <c r="AG58" s="31">
        <v>7</v>
      </c>
      <c r="AH58" s="28"/>
      <c r="AI58" s="28"/>
      <c r="AJ58" s="28"/>
      <c r="AK58" s="28"/>
      <c r="AL58" s="28"/>
      <c r="AM58" s="34">
        <v>7</v>
      </c>
      <c r="AN58" s="34">
        <v>7</v>
      </c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>
        <f t="shared" si="1"/>
        <v>21</v>
      </c>
      <c r="BC58" s="28"/>
    </row>
    <row r="59" spans="1:55">
      <c r="A59" s="28">
        <v>57</v>
      </c>
      <c r="B59" s="29">
        <v>501036</v>
      </c>
      <c r="C59" s="28" t="s">
        <v>192</v>
      </c>
      <c r="D59" s="28"/>
      <c r="E59" s="28">
        <v>20210503</v>
      </c>
      <c r="F59" s="28"/>
      <c r="G59" s="29" t="s">
        <v>51</v>
      </c>
      <c r="H59" s="30" t="s">
        <v>74</v>
      </c>
      <c r="I59" s="28" t="s">
        <v>75</v>
      </c>
      <c r="J59" s="28" t="s">
        <v>54</v>
      </c>
      <c r="K59" s="28"/>
      <c r="L59" s="28">
        <v>0.84999999999999987</v>
      </c>
      <c r="M59" s="28"/>
      <c r="N59" s="28"/>
      <c r="O59" s="28">
        <v>8</v>
      </c>
      <c r="P59" s="28"/>
      <c r="Q59" s="28"/>
      <c r="R59" s="28"/>
      <c r="S59" s="28"/>
      <c r="T59" s="28"/>
      <c r="U59" s="28"/>
      <c r="V59" s="28"/>
      <c r="W59" s="28"/>
      <c r="X59" s="28"/>
      <c r="Y59" s="28" t="b">
        <f t="shared" si="0"/>
        <v>1</v>
      </c>
      <c r="Z59" s="28"/>
      <c r="AA59" s="28"/>
      <c r="AB59" s="28"/>
      <c r="AC59" s="28"/>
      <c r="AD59" s="32">
        <v>0.31</v>
      </c>
      <c r="AE59" s="32">
        <v>0.36</v>
      </c>
      <c r="AF59" s="28"/>
      <c r="AG59" s="28"/>
      <c r="AH59" s="28"/>
      <c r="AI59" s="33">
        <v>8</v>
      </c>
      <c r="AJ59" s="32">
        <v>0.18</v>
      </c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>
        <f t="shared" si="1"/>
        <v>8.85</v>
      </c>
      <c r="BC59" s="28"/>
    </row>
    <row r="60" spans="1:55">
      <c r="A60" s="28">
        <v>58</v>
      </c>
      <c r="B60" s="29">
        <v>501081</v>
      </c>
      <c r="C60" s="28" t="s">
        <v>196</v>
      </c>
      <c r="D60" s="28"/>
      <c r="E60" s="28">
        <v>20211102</v>
      </c>
      <c r="F60" s="28"/>
      <c r="G60" s="29" t="s">
        <v>51</v>
      </c>
      <c r="H60" s="30" t="s">
        <v>74</v>
      </c>
      <c r="I60" s="28" t="s">
        <v>75</v>
      </c>
      <c r="J60" s="28" t="s">
        <v>54</v>
      </c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 t="b">
        <f t="shared" si="0"/>
        <v>1</v>
      </c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>
        <f t="shared" si="1"/>
        <v>0</v>
      </c>
      <c r="BC60" s="28"/>
    </row>
    <row r="61" spans="1:55">
      <c r="A61" s="28">
        <v>59</v>
      </c>
      <c r="B61" s="29">
        <v>501167</v>
      </c>
      <c r="C61" s="28" t="s">
        <v>206</v>
      </c>
      <c r="D61" s="28"/>
      <c r="E61" s="28">
        <v>20221123</v>
      </c>
      <c r="F61" s="28"/>
      <c r="G61" s="29" t="s">
        <v>51</v>
      </c>
      <c r="H61" s="30" t="s">
        <v>74</v>
      </c>
      <c r="I61" s="28" t="s">
        <v>75</v>
      </c>
      <c r="J61" s="28" t="s">
        <v>58</v>
      </c>
      <c r="K61" s="28"/>
      <c r="L61" s="28"/>
      <c r="M61" s="28"/>
      <c r="N61" s="28"/>
      <c r="O61" s="28">
        <v>7</v>
      </c>
      <c r="P61" s="28"/>
      <c r="Q61" s="28"/>
      <c r="R61" s="28"/>
      <c r="S61" s="28"/>
      <c r="T61" s="28"/>
      <c r="U61" s="28"/>
      <c r="V61" s="28"/>
      <c r="W61" s="28"/>
      <c r="X61" s="28"/>
      <c r="Y61" s="28" t="b">
        <f t="shared" si="0"/>
        <v>1</v>
      </c>
      <c r="Z61" s="28"/>
      <c r="AA61" s="28"/>
      <c r="AB61" s="28"/>
      <c r="AC61" s="28"/>
      <c r="AD61" s="33">
        <v>7</v>
      </c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>
        <f t="shared" si="1"/>
        <v>7</v>
      </c>
      <c r="BC61" s="28"/>
    </row>
    <row r="62" spans="1:55">
      <c r="A62" s="28">
        <v>60</v>
      </c>
      <c r="B62" s="29">
        <v>501177</v>
      </c>
      <c r="C62" s="28" t="s">
        <v>207</v>
      </c>
      <c r="D62" s="28"/>
      <c r="E62" s="28">
        <v>20230223</v>
      </c>
      <c r="F62" s="28"/>
      <c r="G62" s="29" t="s">
        <v>51</v>
      </c>
      <c r="H62" s="30" t="s">
        <v>74</v>
      </c>
      <c r="I62" s="28" t="s">
        <v>75</v>
      </c>
      <c r="J62" s="28" t="s">
        <v>58</v>
      </c>
      <c r="K62" s="28"/>
      <c r="L62" s="28"/>
      <c r="M62" s="28">
        <v>7</v>
      </c>
      <c r="N62" s="28"/>
      <c r="O62" s="28">
        <v>7</v>
      </c>
      <c r="P62" s="28"/>
      <c r="Q62" s="28"/>
      <c r="R62" s="28"/>
      <c r="S62" s="28"/>
      <c r="T62" s="28"/>
      <c r="U62" s="28"/>
      <c r="V62" s="28"/>
      <c r="W62" s="28"/>
      <c r="X62" s="28"/>
      <c r="Y62" s="28" t="b">
        <f t="shared" si="0"/>
        <v>1</v>
      </c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34">
        <v>7</v>
      </c>
      <c r="AN62" s="28"/>
      <c r="AO62" s="28"/>
      <c r="AP62" s="28"/>
      <c r="AQ62" s="28"/>
      <c r="AR62" s="28"/>
      <c r="AS62" s="28"/>
      <c r="AT62" s="28"/>
      <c r="AU62" s="28"/>
      <c r="AV62" s="28"/>
      <c r="AW62" s="33">
        <v>7</v>
      </c>
      <c r="AX62" s="28"/>
      <c r="AY62" s="28"/>
      <c r="AZ62" s="28"/>
      <c r="BA62" s="28"/>
      <c r="BB62" s="28">
        <f t="shared" si="1"/>
        <v>14</v>
      </c>
      <c r="BC62" s="28"/>
    </row>
    <row r="63" spans="1:55">
      <c r="A63" s="28">
        <v>61</v>
      </c>
      <c r="B63" s="29">
        <v>501192</v>
      </c>
      <c r="C63" s="28" t="s">
        <v>208</v>
      </c>
      <c r="D63" s="28"/>
      <c r="E63" s="28">
        <v>20230601</v>
      </c>
      <c r="F63" s="28"/>
      <c r="G63" s="29" t="s">
        <v>51</v>
      </c>
      <c r="H63" s="30" t="s">
        <v>74</v>
      </c>
      <c r="I63" s="28" t="s">
        <v>75</v>
      </c>
      <c r="J63" s="28" t="s">
        <v>54</v>
      </c>
      <c r="K63" s="28">
        <v>8</v>
      </c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 t="b">
        <f t="shared" si="0"/>
        <v>1</v>
      </c>
      <c r="Z63" s="28"/>
      <c r="AA63" s="28"/>
      <c r="AB63" s="28"/>
      <c r="AC63" s="28"/>
      <c r="AD63" s="28"/>
      <c r="AE63" s="28"/>
      <c r="AF63" s="28"/>
      <c r="AG63" s="28"/>
      <c r="AH63" s="31">
        <v>8</v>
      </c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>
        <f t="shared" si="1"/>
        <v>8</v>
      </c>
      <c r="BC63" s="28"/>
    </row>
    <row r="64" spans="1:55">
      <c r="A64" s="28">
        <v>62</v>
      </c>
      <c r="B64" s="29">
        <v>501217</v>
      </c>
      <c r="C64" s="28" t="s">
        <v>215</v>
      </c>
      <c r="D64" s="28"/>
      <c r="E64" s="28">
        <v>20240524</v>
      </c>
      <c r="F64" s="28"/>
      <c r="G64" s="29" t="s">
        <v>51</v>
      </c>
      <c r="H64" s="30" t="s">
        <v>74</v>
      </c>
      <c r="I64" s="28" t="s">
        <v>75</v>
      </c>
      <c r="J64" s="28" t="s">
        <v>58</v>
      </c>
      <c r="K64" s="28"/>
      <c r="L64" s="28"/>
      <c r="M64" s="28"/>
      <c r="N64" s="28"/>
      <c r="O64" s="28">
        <v>14</v>
      </c>
      <c r="P64" s="28"/>
      <c r="Q64" s="28"/>
      <c r="R64" s="28"/>
      <c r="S64" s="28"/>
      <c r="T64" s="28"/>
      <c r="U64" s="28"/>
      <c r="V64" s="28"/>
      <c r="W64" s="28"/>
      <c r="X64" s="28"/>
      <c r="Y64" s="28" t="b">
        <f t="shared" si="0"/>
        <v>1</v>
      </c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33">
        <v>7</v>
      </c>
      <c r="AO64" s="28"/>
      <c r="AP64" s="28"/>
      <c r="AQ64" s="28"/>
      <c r="AR64" s="28"/>
      <c r="AS64" s="28"/>
      <c r="AT64" s="28"/>
      <c r="AU64" s="28"/>
      <c r="AV64" s="33">
        <v>7</v>
      </c>
      <c r="AW64" s="28"/>
      <c r="AX64" s="28"/>
      <c r="AY64" s="28"/>
      <c r="AZ64" s="28"/>
      <c r="BA64" s="28"/>
      <c r="BB64" s="28">
        <f t="shared" si="1"/>
        <v>14</v>
      </c>
      <c r="BC64" s="28"/>
    </row>
    <row r="65" spans="1:55">
      <c r="A65" s="28">
        <v>63</v>
      </c>
      <c r="B65" s="29">
        <v>501250</v>
      </c>
      <c r="C65" s="28" t="s">
        <v>232</v>
      </c>
      <c r="D65" s="28"/>
      <c r="E65" s="28">
        <v>20241010</v>
      </c>
      <c r="F65" s="28"/>
      <c r="G65" s="29" t="s">
        <v>51</v>
      </c>
      <c r="H65" s="30" t="s">
        <v>74</v>
      </c>
      <c r="I65" s="28" t="s">
        <v>75</v>
      </c>
      <c r="J65" s="28" t="s">
        <v>58</v>
      </c>
      <c r="K65" s="28">
        <v>7</v>
      </c>
      <c r="L65" s="28"/>
      <c r="M65" s="28">
        <v>14</v>
      </c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 t="b">
        <f t="shared" si="0"/>
        <v>1</v>
      </c>
      <c r="Z65" s="28"/>
      <c r="AA65" s="28"/>
      <c r="AB65" s="28"/>
      <c r="AC65" s="28"/>
      <c r="AD65" s="28"/>
      <c r="AE65" s="34">
        <v>7</v>
      </c>
      <c r="AF65" s="34">
        <v>7</v>
      </c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31">
        <v>7</v>
      </c>
      <c r="AX65" s="28"/>
      <c r="AY65" s="28"/>
      <c r="AZ65" s="28"/>
      <c r="BA65" s="28"/>
      <c r="BB65" s="28">
        <f t="shared" si="1"/>
        <v>21</v>
      </c>
      <c r="BC65" s="28"/>
    </row>
    <row r="66" spans="1:55">
      <c r="A66" s="28">
        <v>64</v>
      </c>
      <c r="B66" s="29">
        <v>501256</v>
      </c>
      <c r="C66" s="28" t="s">
        <v>236</v>
      </c>
      <c r="D66" s="28"/>
      <c r="E66" s="28">
        <v>20241104</v>
      </c>
      <c r="F66" s="28"/>
      <c r="G66" s="29" t="s">
        <v>51</v>
      </c>
      <c r="H66" s="30" t="s">
        <v>74</v>
      </c>
      <c r="I66" s="28" t="s">
        <v>75</v>
      </c>
      <c r="J66" s="28" t="s">
        <v>58</v>
      </c>
      <c r="K66" s="28">
        <v>4</v>
      </c>
      <c r="L66" s="28">
        <v>6.1400000000000006</v>
      </c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 t="b">
        <f t="shared" si="0"/>
        <v>1</v>
      </c>
      <c r="Z66" s="28"/>
      <c r="AA66" s="32">
        <v>0.31</v>
      </c>
      <c r="AB66" s="28"/>
      <c r="AC66" s="28"/>
      <c r="AD66" s="28"/>
      <c r="AE66" s="28"/>
      <c r="AF66" s="28"/>
      <c r="AG66" s="28"/>
      <c r="AH66" s="28"/>
      <c r="AI66" s="28"/>
      <c r="AJ66" s="32">
        <v>1.5</v>
      </c>
      <c r="AK66" s="28"/>
      <c r="AL66" s="28"/>
      <c r="AM66" s="31">
        <v>4</v>
      </c>
      <c r="AN66" s="28"/>
      <c r="AO66" s="28"/>
      <c r="AP66" s="28"/>
      <c r="AQ66" s="32">
        <v>4</v>
      </c>
      <c r="AR66" s="28"/>
      <c r="AS66" s="28"/>
      <c r="AT66" s="32">
        <v>0.33</v>
      </c>
      <c r="AU66" s="28"/>
      <c r="AV66" s="28"/>
      <c r="AW66" s="28"/>
      <c r="AX66" s="28"/>
      <c r="AY66" s="28"/>
      <c r="AZ66" s="28"/>
      <c r="BA66" s="28"/>
      <c r="BB66" s="28">
        <f t="shared" si="1"/>
        <v>10.14</v>
      </c>
      <c r="BC66" s="28"/>
    </row>
    <row r="67" spans="1:55">
      <c r="A67" s="28">
        <v>65</v>
      </c>
      <c r="B67" s="29">
        <v>501265</v>
      </c>
      <c r="C67" s="28" t="s">
        <v>242</v>
      </c>
      <c r="D67" s="28"/>
      <c r="E67" s="28">
        <v>20250303</v>
      </c>
      <c r="F67" s="28"/>
      <c r="G67" s="29" t="s">
        <v>51</v>
      </c>
      <c r="H67" s="30" t="s">
        <v>74</v>
      </c>
      <c r="I67" s="28" t="s">
        <v>75</v>
      </c>
      <c r="J67" s="28" t="s">
        <v>58</v>
      </c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 t="b">
        <f t="shared" ref="Y67:Y130" si="2">SUM(K67:X67)=SUM(Z67:BA67)</f>
        <v>1</v>
      </c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>
        <f t="shared" ref="BB67:BB130" si="3">SUM(Z67:BA67)</f>
        <v>0</v>
      </c>
      <c r="BC67" s="28"/>
    </row>
    <row r="68" spans="1:55">
      <c r="A68" s="28">
        <v>66</v>
      </c>
      <c r="B68" s="29">
        <v>501275</v>
      </c>
      <c r="C68" s="28" t="s">
        <v>248</v>
      </c>
      <c r="D68" s="28"/>
      <c r="E68" s="28">
        <v>20250429</v>
      </c>
      <c r="F68" s="28"/>
      <c r="G68" s="29" t="s">
        <v>51</v>
      </c>
      <c r="H68" s="30" t="s">
        <v>74</v>
      </c>
      <c r="I68" s="28" t="s">
        <v>75</v>
      </c>
      <c r="J68" s="28" t="s">
        <v>58</v>
      </c>
      <c r="K68" s="28">
        <v>7</v>
      </c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 t="b">
        <f t="shared" si="2"/>
        <v>1</v>
      </c>
      <c r="Z68" s="28"/>
      <c r="AA68" s="28"/>
      <c r="AB68" s="28"/>
      <c r="AC68" s="28"/>
      <c r="AD68" s="28"/>
      <c r="AE68" s="28"/>
      <c r="AF68" s="28"/>
      <c r="AG68" s="31">
        <v>7</v>
      </c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>
        <f t="shared" si="3"/>
        <v>7</v>
      </c>
      <c r="BC68" s="28"/>
    </row>
    <row r="69" spans="1:55">
      <c r="A69" s="28">
        <v>67</v>
      </c>
      <c r="B69" s="29">
        <v>501280</v>
      </c>
      <c r="C69" s="28" t="s">
        <v>252</v>
      </c>
      <c r="D69" s="28"/>
      <c r="E69" s="28">
        <v>20250506</v>
      </c>
      <c r="F69" s="28"/>
      <c r="G69" s="29" t="s">
        <v>51</v>
      </c>
      <c r="H69" s="30" t="s">
        <v>74</v>
      </c>
      <c r="I69" s="28" t="s">
        <v>75</v>
      </c>
      <c r="J69" s="28" t="s">
        <v>58</v>
      </c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 t="b">
        <f t="shared" si="2"/>
        <v>1</v>
      </c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>
        <f t="shared" si="3"/>
        <v>0</v>
      </c>
      <c r="BC69" s="28"/>
    </row>
    <row r="70" spans="1:55">
      <c r="A70" s="28">
        <v>68</v>
      </c>
      <c r="B70" s="29">
        <v>501284</v>
      </c>
      <c r="C70" s="28" t="s">
        <v>255</v>
      </c>
      <c r="D70" s="28"/>
      <c r="E70" s="28">
        <v>20250522</v>
      </c>
      <c r="F70" s="28"/>
      <c r="G70" s="29" t="s">
        <v>51</v>
      </c>
      <c r="H70" s="30" t="s">
        <v>74</v>
      </c>
      <c r="I70" s="28" t="s">
        <v>75</v>
      </c>
      <c r="J70" s="28" t="s">
        <v>54</v>
      </c>
      <c r="K70" s="28">
        <v>20</v>
      </c>
      <c r="L70" s="28">
        <v>0.9</v>
      </c>
      <c r="M70" s="28">
        <v>8</v>
      </c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 t="b">
        <f t="shared" si="2"/>
        <v>1</v>
      </c>
      <c r="Z70" s="28"/>
      <c r="AA70" s="31">
        <v>8</v>
      </c>
      <c r="AB70" s="32">
        <v>0.9</v>
      </c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34">
        <v>8</v>
      </c>
      <c r="AY70" s="28"/>
      <c r="AZ70" s="31">
        <v>8</v>
      </c>
      <c r="BA70" s="31">
        <v>4</v>
      </c>
      <c r="BB70" s="28">
        <f t="shared" si="3"/>
        <v>28.9</v>
      </c>
      <c r="BC70" s="28"/>
    </row>
    <row r="71" spans="1:55">
      <c r="A71" s="28">
        <v>69</v>
      </c>
      <c r="B71" s="29">
        <v>501296</v>
      </c>
      <c r="C71" s="28" t="s">
        <v>259</v>
      </c>
      <c r="D71" s="28"/>
      <c r="E71" s="28">
        <v>20250901</v>
      </c>
      <c r="F71" s="28"/>
      <c r="G71" s="29" t="s">
        <v>51</v>
      </c>
      <c r="H71" s="30" t="s">
        <v>74</v>
      </c>
      <c r="I71" s="28" t="s">
        <v>75</v>
      </c>
      <c r="J71" s="28" t="s">
        <v>58</v>
      </c>
      <c r="K71" s="28"/>
      <c r="L71" s="28">
        <v>7</v>
      </c>
      <c r="M71" s="28">
        <v>7</v>
      </c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 t="b">
        <f t="shared" si="2"/>
        <v>1</v>
      </c>
      <c r="Z71" s="28"/>
      <c r="AA71" s="28"/>
      <c r="AB71" s="28"/>
      <c r="AC71" s="28"/>
      <c r="AD71" s="28"/>
      <c r="AE71" s="28"/>
      <c r="AF71" s="34">
        <v>7</v>
      </c>
      <c r="AG71" s="28"/>
      <c r="AH71" s="28"/>
      <c r="AI71" s="28"/>
      <c r="AJ71" s="32">
        <v>7</v>
      </c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>
        <f t="shared" si="3"/>
        <v>14</v>
      </c>
      <c r="BC71" s="28"/>
    </row>
    <row r="72" spans="1:55">
      <c r="A72" s="28">
        <v>70</v>
      </c>
      <c r="B72" s="29">
        <v>501299</v>
      </c>
      <c r="C72" s="28" t="s">
        <v>262</v>
      </c>
      <c r="D72" s="28"/>
      <c r="E72" s="28">
        <v>20250916</v>
      </c>
      <c r="F72" s="28"/>
      <c r="G72" s="29" t="s">
        <v>51</v>
      </c>
      <c r="H72" s="30" t="s">
        <v>74</v>
      </c>
      <c r="I72" s="28" t="s">
        <v>75</v>
      </c>
      <c r="J72" s="28" t="s">
        <v>58</v>
      </c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 t="b">
        <f t="shared" si="2"/>
        <v>1</v>
      </c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>
        <f t="shared" si="3"/>
        <v>0</v>
      </c>
      <c r="BC72" s="28"/>
    </row>
    <row r="73" spans="1:55">
      <c r="A73" s="28">
        <v>71</v>
      </c>
      <c r="B73" s="29">
        <v>501311</v>
      </c>
      <c r="C73" s="28" t="s">
        <v>273</v>
      </c>
      <c r="D73" s="28"/>
      <c r="E73" s="28">
        <v>20251117</v>
      </c>
      <c r="F73" s="28"/>
      <c r="G73" s="29" t="s">
        <v>51</v>
      </c>
      <c r="H73" s="30" t="s">
        <v>74</v>
      </c>
      <c r="I73" s="28" t="s">
        <v>75</v>
      </c>
      <c r="J73" s="28" t="s">
        <v>54</v>
      </c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 t="b">
        <f t="shared" si="2"/>
        <v>1</v>
      </c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>
        <f t="shared" si="3"/>
        <v>0</v>
      </c>
      <c r="BC73" s="28"/>
    </row>
    <row r="74" spans="1:55">
      <c r="A74" s="28">
        <v>72</v>
      </c>
      <c r="B74" s="29">
        <v>501316</v>
      </c>
      <c r="C74" s="28" t="s">
        <v>87</v>
      </c>
      <c r="D74" s="28"/>
      <c r="E74" s="28">
        <v>20260226</v>
      </c>
      <c r="F74" s="28"/>
      <c r="G74" s="29" t="s">
        <v>51</v>
      </c>
      <c r="H74" s="30" t="s">
        <v>74</v>
      </c>
      <c r="I74" s="28" t="s">
        <v>75</v>
      </c>
      <c r="J74" s="28" t="s">
        <v>58</v>
      </c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 t="b">
        <f t="shared" si="2"/>
        <v>1</v>
      </c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>
        <f t="shared" si="3"/>
        <v>0</v>
      </c>
      <c r="BC74" s="28"/>
    </row>
    <row r="75" spans="1:55">
      <c r="A75" s="28">
        <v>73</v>
      </c>
      <c r="B75" s="29">
        <v>501317</v>
      </c>
      <c r="C75" s="28" t="s">
        <v>431</v>
      </c>
      <c r="D75" s="28"/>
      <c r="E75" s="28">
        <v>20260226</v>
      </c>
      <c r="F75" s="28"/>
      <c r="G75" s="29" t="s">
        <v>51</v>
      </c>
      <c r="H75" s="30" t="s">
        <v>74</v>
      </c>
      <c r="I75" s="28" t="s">
        <v>75</v>
      </c>
      <c r="J75" s="28" t="s">
        <v>58</v>
      </c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 t="b">
        <f t="shared" si="2"/>
        <v>1</v>
      </c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>
        <f t="shared" si="3"/>
        <v>0</v>
      </c>
      <c r="BC75" s="28"/>
    </row>
    <row r="76" spans="1:55">
      <c r="A76" s="28">
        <v>74</v>
      </c>
      <c r="B76" s="29">
        <v>500005</v>
      </c>
      <c r="C76" s="28" t="s">
        <v>60</v>
      </c>
      <c r="D76" s="28"/>
      <c r="E76" s="28">
        <v>20140707</v>
      </c>
      <c r="F76" s="28"/>
      <c r="G76" s="29" t="s">
        <v>51</v>
      </c>
      <c r="H76" s="30" t="s">
        <v>61</v>
      </c>
      <c r="I76" s="28" t="s">
        <v>62</v>
      </c>
      <c r="J76" s="28" t="s">
        <v>54</v>
      </c>
      <c r="K76" s="28"/>
      <c r="L76" s="28">
        <v>0.23</v>
      </c>
      <c r="M76" s="28"/>
      <c r="N76" s="28"/>
      <c r="O76" s="28">
        <v>8</v>
      </c>
      <c r="P76" s="28"/>
      <c r="Q76" s="28"/>
      <c r="R76" s="28"/>
      <c r="S76" s="28"/>
      <c r="T76" s="28"/>
      <c r="U76" s="28"/>
      <c r="V76" s="28"/>
      <c r="W76" s="28"/>
      <c r="X76" s="28"/>
      <c r="Y76" s="28" t="b">
        <f t="shared" si="2"/>
        <v>1</v>
      </c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32">
        <v>0.23</v>
      </c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33">
        <v>8</v>
      </c>
      <c r="AZ76" s="28"/>
      <c r="BA76" s="28"/>
      <c r="BB76" s="28">
        <f t="shared" si="3"/>
        <v>8.23</v>
      </c>
      <c r="BC76" s="28"/>
    </row>
    <row r="77" spans="1:55">
      <c r="A77" s="28">
        <v>75</v>
      </c>
      <c r="B77" s="29">
        <v>500009</v>
      </c>
      <c r="C77" s="28" t="s">
        <v>63</v>
      </c>
      <c r="D77" s="28"/>
      <c r="E77" s="28">
        <v>20140822</v>
      </c>
      <c r="F77" s="28"/>
      <c r="G77" s="29" t="s">
        <v>51</v>
      </c>
      <c r="H77" s="30" t="s">
        <v>61</v>
      </c>
      <c r="I77" s="28" t="s">
        <v>62</v>
      </c>
      <c r="J77" s="28" t="s">
        <v>54</v>
      </c>
      <c r="K77" s="28"/>
      <c r="L77" s="28">
        <v>4</v>
      </c>
      <c r="M77" s="28">
        <v>36</v>
      </c>
      <c r="N77" s="28"/>
      <c r="O77" s="28">
        <v>16</v>
      </c>
      <c r="P77" s="28"/>
      <c r="Q77" s="28"/>
      <c r="R77" s="28"/>
      <c r="S77" s="28"/>
      <c r="T77" s="28"/>
      <c r="U77" s="28"/>
      <c r="V77" s="28"/>
      <c r="W77" s="28"/>
      <c r="X77" s="28"/>
      <c r="Y77" s="28" t="b">
        <f t="shared" si="2"/>
        <v>1</v>
      </c>
      <c r="Z77" s="28"/>
      <c r="AA77" s="28"/>
      <c r="AB77" s="28"/>
      <c r="AC77" s="33">
        <v>8</v>
      </c>
      <c r="AD77" s="33">
        <v>8</v>
      </c>
      <c r="AE77" s="28"/>
      <c r="AF77" s="32">
        <v>4</v>
      </c>
      <c r="AG77" s="28"/>
      <c r="AH77" s="28"/>
      <c r="AI77" s="34">
        <v>8</v>
      </c>
      <c r="AJ77" s="34">
        <v>8</v>
      </c>
      <c r="AK77" s="34">
        <v>8</v>
      </c>
      <c r="AL77" s="34">
        <v>8</v>
      </c>
      <c r="AM77" s="34">
        <v>4</v>
      </c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>
        <f t="shared" si="3"/>
        <v>56</v>
      </c>
      <c r="BC77" s="28"/>
    </row>
    <row r="78" spans="1:55">
      <c r="A78" s="28">
        <v>76</v>
      </c>
      <c r="B78" s="29">
        <v>500051</v>
      </c>
      <c r="C78" s="28" t="s">
        <v>76</v>
      </c>
      <c r="D78" s="28"/>
      <c r="E78" s="28">
        <v>20150504</v>
      </c>
      <c r="F78" s="28"/>
      <c r="G78" s="29" t="s">
        <v>51</v>
      </c>
      <c r="H78" s="30" t="s">
        <v>61</v>
      </c>
      <c r="I78" s="28" t="s">
        <v>62</v>
      </c>
      <c r="J78" s="28" t="s">
        <v>58</v>
      </c>
      <c r="K78" s="28"/>
      <c r="L78" s="28">
        <v>9.9699999999999989</v>
      </c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 t="b">
        <f t="shared" si="2"/>
        <v>1</v>
      </c>
      <c r="Z78" s="28"/>
      <c r="AA78" s="28"/>
      <c r="AB78" s="28"/>
      <c r="AC78" s="28"/>
      <c r="AD78" s="32">
        <v>8</v>
      </c>
      <c r="AE78" s="28"/>
      <c r="AF78" s="28"/>
      <c r="AG78" s="28"/>
      <c r="AH78" s="28"/>
      <c r="AI78" s="32">
        <v>0.78</v>
      </c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32">
        <v>0.23</v>
      </c>
      <c r="AX78" s="32">
        <v>0.68</v>
      </c>
      <c r="AY78" s="28"/>
      <c r="AZ78" s="28"/>
      <c r="BA78" s="32">
        <v>0.28000000000000003</v>
      </c>
      <c r="BB78" s="28">
        <f t="shared" si="3"/>
        <v>9.9699999999999989</v>
      </c>
      <c r="BC78" s="28"/>
    </row>
    <row r="79" spans="1:55">
      <c r="A79" s="28">
        <v>77</v>
      </c>
      <c r="B79" s="29">
        <v>500052</v>
      </c>
      <c r="C79" s="28" t="s">
        <v>77</v>
      </c>
      <c r="D79" s="28"/>
      <c r="E79" s="28">
        <v>20150507</v>
      </c>
      <c r="F79" s="28"/>
      <c r="G79" s="29" t="s">
        <v>51</v>
      </c>
      <c r="H79" s="30" t="s">
        <v>61</v>
      </c>
      <c r="I79" s="28" t="s">
        <v>62</v>
      </c>
      <c r="J79" s="28" t="s">
        <v>54</v>
      </c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 t="b">
        <f t="shared" si="2"/>
        <v>1</v>
      </c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>
        <f t="shared" si="3"/>
        <v>0</v>
      </c>
      <c r="BC79" s="28"/>
    </row>
    <row r="80" spans="1:55">
      <c r="A80" s="28">
        <v>78</v>
      </c>
      <c r="B80" s="29">
        <v>500104</v>
      </c>
      <c r="C80" s="28" t="s">
        <v>83</v>
      </c>
      <c r="D80" s="28"/>
      <c r="E80" s="28">
        <v>20150713</v>
      </c>
      <c r="F80" s="28"/>
      <c r="G80" s="29" t="s">
        <v>51</v>
      </c>
      <c r="H80" s="30" t="s">
        <v>61</v>
      </c>
      <c r="I80" s="28" t="s">
        <v>62</v>
      </c>
      <c r="J80" s="28" t="s">
        <v>54</v>
      </c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 t="b">
        <f t="shared" si="2"/>
        <v>1</v>
      </c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>
        <f t="shared" si="3"/>
        <v>0</v>
      </c>
      <c r="BC80" s="28"/>
    </row>
    <row r="81" spans="1:55">
      <c r="A81" s="28">
        <v>79</v>
      </c>
      <c r="B81" s="29">
        <v>500122</v>
      </c>
      <c r="C81" s="28" t="s">
        <v>86</v>
      </c>
      <c r="D81" s="28"/>
      <c r="E81" s="28">
        <v>20150727</v>
      </c>
      <c r="F81" s="28"/>
      <c r="G81" s="29" t="s">
        <v>51</v>
      </c>
      <c r="H81" s="30" t="s">
        <v>61</v>
      </c>
      <c r="I81" s="28" t="s">
        <v>62</v>
      </c>
      <c r="J81" s="28" t="s">
        <v>54</v>
      </c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 t="b">
        <f t="shared" si="2"/>
        <v>1</v>
      </c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>
        <f t="shared" si="3"/>
        <v>0</v>
      </c>
      <c r="BC81" s="28"/>
    </row>
    <row r="82" spans="1:55">
      <c r="A82" s="28">
        <v>80</v>
      </c>
      <c r="B82" s="29">
        <v>500191</v>
      </c>
      <c r="C82" s="28" t="s">
        <v>92</v>
      </c>
      <c r="D82" s="28"/>
      <c r="E82" s="28">
        <v>20151105</v>
      </c>
      <c r="F82" s="28"/>
      <c r="G82" s="29" t="s">
        <v>51</v>
      </c>
      <c r="H82" s="30" t="s">
        <v>61</v>
      </c>
      <c r="I82" s="28" t="s">
        <v>62</v>
      </c>
      <c r="J82" s="28" t="s">
        <v>54</v>
      </c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 t="b">
        <f t="shared" si="2"/>
        <v>1</v>
      </c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>
        <f t="shared" si="3"/>
        <v>0</v>
      </c>
      <c r="BC82" s="28"/>
    </row>
    <row r="83" spans="1:55">
      <c r="A83" s="28">
        <v>81</v>
      </c>
      <c r="B83" s="29">
        <v>500216</v>
      </c>
      <c r="C83" s="28" t="s">
        <v>99</v>
      </c>
      <c r="D83" s="28"/>
      <c r="E83" s="28">
        <v>20151203</v>
      </c>
      <c r="F83" s="28"/>
      <c r="G83" s="29" t="s">
        <v>51</v>
      </c>
      <c r="H83" s="30" t="s">
        <v>61</v>
      </c>
      <c r="I83" s="28" t="s">
        <v>62</v>
      </c>
      <c r="J83" s="28" t="s">
        <v>54</v>
      </c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 t="b">
        <f t="shared" si="2"/>
        <v>1</v>
      </c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>
        <f t="shared" si="3"/>
        <v>0</v>
      </c>
      <c r="BC83" s="28"/>
    </row>
    <row r="84" spans="1:55">
      <c r="A84" s="28">
        <v>82</v>
      </c>
      <c r="B84" s="29">
        <v>500228</v>
      </c>
      <c r="C84" s="28" t="s">
        <v>101</v>
      </c>
      <c r="D84" s="28"/>
      <c r="E84" s="28">
        <v>20151215</v>
      </c>
      <c r="F84" s="28"/>
      <c r="G84" s="29" t="s">
        <v>51</v>
      </c>
      <c r="H84" s="30" t="s">
        <v>61</v>
      </c>
      <c r="I84" s="28" t="s">
        <v>62</v>
      </c>
      <c r="J84" s="28" t="s">
        <v>54</v>
      </c>
      <c r="K84" s="28"/>
      <c r="L84" s="28"/>
      <c r="M84" s="28"/>
      <c r="N84" s="28"/>
      <c r="O84" s="28">
        <v>8</v>
      </c>
      <c r="P84" s="28"/>
      <c r="Q84" s="28"/>
      <c r="R84" s="28"/>
      <c r="S84" s="28"/>
      <c r="T84" s="28"/>
      <c r="U84" s="28"/>
      <c r="V84" s="28"/>
      <c r="W84" s="28"/>
      <c r="X84" s="28"/>
      <c r="Y84" s="28" t="b">
        <f t="shared" si="2"/>
        <v>1</v>
      </c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33">
        <v>8</v>
      </c>
      <c r="BA84" s="28"/>
      <c r="BB84" s="28">
        <f t="shared" si="3"/>
        <v>8</v>
      </c>
      <c r="BC84" s="28"/>
    </row>
    <row r="85" spans="1:55">
      <c r="A85" s="28">
        <v>83</v>
      </c>
      <c r="B85" s="29">
        <v>500343</v>
      </c>
      <c r="C85" s="28" t="s">
        <v>119</v>
      </c>
      <c r="D85" s="28"/>
      <c r="E85" s="28">
        <v>20160705</v>
      </c>
      <c r="F85" s="28"/>
      <c r="G85" s="29" t="s">
        <v>51</v>
      </c>
      <c r="H85" s="30" t="s">
        <v>61</v>
      </c>
      <c r="I85" s="28" t="s">
        <v>62</v>
      </c>
      <c r="J85" s="28" t="s">
        <v>54</v>
      </c>
      <c r="K85" s="28"/>
      <c r="L85" s="28"/>
      <c r="M85" s="28"/>
      <c r="N85" s="28"/>
      <c r="O85" s="28">
        <v>8</v>
      </c>
      <c r="P85" s="28"/>
      <c r="Q85" s="28"/>
      <c r="R85" s="28"/>
      <c r="S85" s="28"/>
      <c r="T85" s="28"/>
      <c r="U85" s="28"/>
      <c r="V85" s="28"/>
      <c r="W85" s="28"/>
      <c r="X85" s="28"/>
      <c r="Y85" s="28" t="b">
        <f t="shared" si="2"/>
        <v>1</v>
      </c>
      <c r="Z85" s="28"/>
      <c r="AA85" s="33">
        <v>8</v>
      </c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>
        <f t="shared" si="3"/>
        <v>8</v>
      </c>
      <c r="BC85" s="28"/>
    </row>
    <row r="86" spans="1:55">
      <c r="A86" s="28">
        <v>84</v>
      </c>
      <c r="B86" s="29">
        <v>500377</v>
      </c>
      <c r="C86" s="28" t="s">
        <v>126</v>
      </c>
      <c r="D86" s="28"/>
      <c r="E86" s="28">
        <v>20160920</v>
      </c>
      <c r="F86" s="28"/>
      <c r="G86" s="29" t="s">
        <v>51</v>
      </c>
      <c r="H86" s="30" t="s">
        <v>61</v>
      </c>
      <c r="I86" s="28" t="s">
        <v>62</v>
      </c>
      <c r="J86" s="28" t="s">
        <v>54</v>
      </c>
      <c r="K86" s="28"/>
      <c r="L86" s="28"/>
      <c r="M86" s="28"/>
      <c r="N86" s="28"/>
      <c r="O86" s="28">
        <v>16</v>
      </c>
      <c r="P86" s="28"/>
      <c r="Q86" s="28"/>
      <c r="R86" s="28"/>
      <c r="S86" s="28"/>
      <c r="T86" s="28"/>
      <c r="U86" s="28"/>
      <c r="V86" s="28"/>
      <c r="W86" s="28"/>
      <c r="X86" s="28"/>
      <c r="Y86" s="28" t="b">
        <f t="shared" si="2"/>
        <v>1</v>
      </c>
      <c r="Z86" s="28"/>
      <c r="AA86" s="28"/>
      <c r="AB86" s="33">
        <v>8</v>
      </c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33">
        <v>8</v>
      </c>
      <c r="AY86" s="28"/>
      <c r="AZ86" s="28"/>
      <c r="BA86" s="28"/>
      <c r="BB86" s="28">
        <f t="shared" si="3"/>
        <v>16</v>
      </c>
      <c r="BC86" s="28"/>
    </row>
    <row r="87" spans="1:55">
      <c r="A87" s="28">
        <v>85</v>
      </c>
      <c r="B87" s="29">
        <v>500404</v>
      </c>
      <c r="C87" s="28" t="s">
        <v>134</v>
      </c>
      <c r="D87" s="28"/>
      <c r="E87" s="28">
        <v>20161019</v>
      </c>
      <c r="F87" s="28"/>
      <c r="G87" s="29" t="s">
        <v>51</v>
      </c>
      <c r="H87" s="30" t="s">
        <v>61</v>
      </c>
      <c r="I87" s="28" t="s">
        <v>62</v>
      </c>
      <c r="J87" s="28" t="s">
        <v>54</v>
      </c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 t="b">
        <f t="shared" si="2"/>
        <v>1</v>
      </c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>
        <f t="shared" si="3"/>
        <v>0</v>
      </c>
      <c r="BC87" s="28"/>
    </row>
    <row r="88" spans="1:55">
      <c r="A88" s="28">
        <v>86</v>
      </c>
      <c r="B88" s="29">
        <v>500432</v>
      </c>
      <c r="C88" s="28" t="s">
        <v>137</v>
      </c>
      <c r="D88" s="28"/>
      <c r="E88" s="28">
        <v>20161208</v>
      </c>
      <c r="F88" s="28"/>
      <c r="G88" s="29" t="s">
        <v>51</v>
      </c>
      <c r="H88" s="30" t="s">
        <v>61</v>
      </c>
      <c r="I88" s="28" t="s">
        <v>62</v>
      </c>
      <c r="J88" s="28" t="s">
        <v>54</v>
      </c>
      <c r="K88" s="28"/>
      <c r="L88" s="28"/>
      <c r="M88" s="28"/>
      <c r="N88" s="28"/>
      <c r="O88" s="28">
        <v>32</v>
      </c>
      <c r="P88" s="28"/>
      <c r="Q88" s="28"/>
      <c r="R88" s="28"/>
      <c r="S88" s="28"/>
      <c r="T88" s="28"/>
      <c r="U88" s="28"/>
      <c r="V88" s="28"/>
      <c r="W88" s="28"/>
      <c r="X88" s="28"/>
      <c r="Y88" s="28" t="b">
        <f t="shared" si="2"/>
        <v>1</v>
      </c>
      <c r="Z88" s="28"/>
      <c r="AA88" s="28"/>
      <c r="AB88" s="28"/>
      <c r="AC88" s="28"/>
      <c r="AD88" s="28"/>
      <c r="AE88" s="28"/>
      <c r="AF88" s="28"/>
      <c r="AG88" s="28"/>
      <c r="AH88" s="33">
        <v>8</v>
      </c>
      <c r="AI88" s="28"/>
      <c r="AJ88" s="28"/>
      <c r="AK88" s="28"/>
      <c r="AL88" s="28"/>
      <c r="AM88" s="28"/>
      <c r="AN88" s="28"/>
      <c r="AO88" s="28"/>
      <c r="AP88" s="28"/>
      <c r="AQ88" s="28"/>
      <c r="AR88" s="33">
        <v>8</v>
      </c>
      <c r="AS88" s="33">
        <v>8</v>
      </c>
      <c r="AT88" s="33">
        <v>8</v>
      </c>
      <c r="AU88" s="28"/>
      <c r="AV88" s="28"/>
      <c r="AW88" s="28"/>
      <c r="AX88" s="28"/>
      <c r="AY88" s="28"/>
      <c r="AZ88" s="28"/>
      <c r="BA88" s="28"/>
      <c r="BB88" s="28">
        <f t="shared" si="3"/>
        <v>32</v>
      </c>
      <c r="BC88" s="28"/>
    </row>
    <row r="89" spans="1:55">
      <c r="A89" s="28">
        <v>87</v>
      </c>
      <c r="B89" s="29">
        <v>500444</v>
      </c>
      <c r="C89" s="28" t="s">
        <v>140</v>
      </c>
      <c r="D89" s="28"/>
      <c r="E89" s="28">
        <v>20170105</v>
      </c>
      <c r="F89" s="28"/>
      <c r="G89" s="29" t="s">
        <v>51</v>
      </c>
      <c r="H89" s="30" t="s">
        <v>61</v>
      </c>
      <c r="I89" s="28" t="s">
        <v>62</v>
      </c>
      <c r="J89" s="28" t="s">
        <v>54</v>
      </c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 t="b">
        <f t="shared" si="2"/>
        <v>1</v>
      </c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>
        <f t="shared" si="3"/>
        <v>0</v>
      </c>
      <c r="BC89" s="28"/>
    </row>
    <row r="90" spans="1:55">
      <c r="A90" s="28">
        <v>88</v>
      </c>
      <c r="B90" s="29">
        <v>500451</v>
      </c>
      <c r="C90" s="28" t="s">
        <v>141</v>
      </c>
      <c r="D90" s="28"/>
      <c r="E90" s="28">
        <v>20170110</v>
      </c>
      <c r="F90" s="28"/>
      <c r="G90" s="29" t="s">
        <v>51</v>
      </c>
      <c r="H90" s="30" t="s">
        <v>61</v>
      </c>
      <c r="I90" s="28" t="s">
        <v>62</v>
      </c>
      <c r="J90" s="28" t="s">
        <v>54</v>
      </c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 t="b">
        <f t="shared" si="2"/>
        <v>1</v>
      </c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>
        <f t="shared" si="3"/>
        <v>0</v>
      </c>
      <c r="BC90" s="28"/>
    </row>
    <row r="91" spans="1:55">
      <c r="A91" s="28">
        <v>89</v>
      </c>
      <c r="B91" s="29">
        <v>500514</v>
      </c>
      <c r="C91" s="28" t="s">
        <v>148</v>
      </c>
      <c r="D91" s="28"/>
      <c r="E91" s="28">
        <v>20170321</v>
      </c>
      <c r="F91" s="28"/>
      <c r="G91" s="29" t="s">
        <v>51</v>
      </c>
      <c r="H91" s="30" t="s">
        <v>61</v>
      </c>
      <c r="I91" s="28" t="s">
        <v>62</v>
      </c>
      <c r="J91" s="28" t="s">
        <v>54</v>
      </c>
      <c r="K91" s="28"/>
      <c r="L91" s="28"/>
      <c r="M91" s="28"/>
      <c r="N91" s="28"/>
      <c r="O91" s="28">
        <v>8</v>
      </c>
      <c r="P91" s="28"/>
      <c r="Q91" s="28"/>
      <c r="R91" s="28"/>
      <c r="S91" s="28"/>
      <c r="T91" s="28"/>
      <c r="U91" s="28"/>
      <c r="V91" s="28"/>
      <c r="W91" s="28"/>
      <c r="X91" s="28"/>
      <c r="Y91" s="28" t="b">
        <f t="shared" si="2"/>
        <v>1</v>
      </c>
      <c r="Z91" s="28"/>
      <c r="AA91" s="28"/>
      <c r="AB91" s="28"/>
      <c r="AC91" s="28"/>
      <c r="AD91" s="28"/>
      <c r="AE91" s="28"/>
      <c r="AF91" s="33">
        <v>8</v>
      </c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>
        <f t="shared" si="3"/>
        <v>8</v>
      </c>
      <c r="BC91" s="28"/>
    </row>
    <row r="92" spans="1:55">
      <c r="A92" s="28">
        <v>90</v>
      </c>
      <c r="B92" s="29">
        <v>500580</v>
      </c>
      <c r="C92" s="28" t="s">
        <v>153</v>
      </c>
      <c r="D92" s="28"/>
      <c r="E92" s="28">
        <v>20170725</v>
      </c>
      <c r="F92" s="28"/>
      <c r="G92" s="29" t="s">
        <v>51</v>
      </c>
      <c r="H92" s="30" t="s">
        <v>61</v>
      </c>
      <c r="I92" s="28" t="s">
        <v>62</v>
      </c>
      <c r="J92" s="28" t="s">
        <v>58</v>
      </c>
      <c r="K92" s="28">
        <v>14</v>
      </c>
      <c r="L92" s="28"/>
      <c r="M92" s="28"/>
      <c r="N92" s="28"/>
      <c r="O92" s="28">
        <v>7</v>
      </c>
      <c r="P92" s="28"/>
      <c r="Q92" s="28"/>
      <c r="R92" s="28"/>
      <c r="S92" s="28"/>
      <c r="T92" s="28"/>
      <c r="U92" s="28"/>
      <c r="V92" s="28"/>
      <c r="W92" s="28"/>
      <c r="X92" s="28"/>
      <c r="Y92" s="28" t="b">
        <f t="shared" si="2"/>
        <v>1</v>
      </c>
      <c r="Z92" s="28"/>
      <c r="AA92" s="28"/>
      <c r="AB92" s="28"/>
      <c r="AC92" s="31">
        <v>7</v>
      </c>
      <c r="AD92" s="28"/>
      <c r="AE92" s="28"/>
      <c r="AF92" s="28"/>
      <c r="AG92" s="28"/>
      <c r="AH92" s="28"/>
      <c r="AI92" s="31">
        <v>7</v>
      </c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33">
        <v>7</v>
      </c>
      <c r="AV92" s="28"/>
      <c r="AW92" s="28"/>
      <c r="AX92" s="28"/>
      <c r="AY92" s="28"/>
      <c r="AZ92" s="28"/>
      <c r="BA92" s="28"/>
      <c r="BB92" s="28">
        <f t="shared" si="3"/>
        <v>21</v>
      </c>
      <c r="BC92" s="28"/>
    </row>
    <row r="93" spans="1:55">
      <c r="A93" s="28">
        <v>91</v>
      </c>
      <c r="B93" s="29">
        <v>500717</v>
      </c>
      <c r="C93" s="28" t="s">
        <v>110</v>
      </c>
      <c r="D93" s="28"/>
      <c r="E93" s="28">
        <v>20180328</v>
      </c>
      <c r="F93" s="28"/>
      <c r="G93" s="29" t="s">
        <v>51</v>
      </c>
      <c r="H93" s="30" t="s">
        <v>61</v>
      </c>
      <c r="I93" s="28" t="s">
        <v>62</v>
      </c>
      <c r="J93" s="28" t="s">
        <v>54</v>
      </c>
      <c r="K93" s="28">
        <v>16</v>
      </c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 t="b">
        <f t="shared" si="2"/>
        <v>1</v>
      </c>
      <c r="Z93" s="28"/>
      <c r="AA93" s="28"/>
      <c r="AB93" s="31">
        <v>8</v>
      </c>
      <c r="AC93" s="31">
        <v>8</v>
      </c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>
        <f t="shared" si="3"/>
        <v>16</v>
      </c>
      <c r="BC93" s="28"/>
    </row>
    <row r="94" spans="1:55">
      <c r="A94" s="28">
        <v>92</v>
      </c>
      <c r="B94" s="29">
        <v>500831</v>
      </c>
      <c r="C94" s="28" t="s">
        <v>175</v>
      </c>
      <c r="D94" s="28"/>
      <c r="E94" s="28">
        <v>20190108</v>
      </c>
      <c r="F94" s="28"/>
      <c r="G94" s="29" t="s">
        <v>51</v>
      </c>
      <c r="H94" s="30" t="s">
        <v>61</v>
      </c>
      <c r="I94" s="28" t="s">
        <v>62</v>
      </c>
      <c r="J94" s="28" t="s">
        <v>58</v>
      </c>
      <c r="K94" s="28"/>
      <c r="L94" s="28">
        <v>0.35</v>
      </c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 t="b">
        <f t="shared" si="2"/>
        <v>1</v>
      </c>
      <c r="Z94" s="28"/>
      <c r="AA94" s="28"/>
      <c r="AB94" s="28"/>
      <c r="AC94" s="32">
        <v>0.35</v>
      </c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>
        <f t="shared" si="3"/>
        <v>0.35</v>
      </c>
      <c r="BC94" s="28"/>
    </row>
    <row r="95" spans="1:55">
      <c r="A95" s="28">
        <v>93</v>
      </c>
      <c r="B95" s="29">
        <v>500840</v>
      </c>
      <c r="C95" s="28" t="s">
        <v>176</v>
      </c>
      <c r="D95" s="28"/>
      <c r="E95" s="28">
        <v>20190205</v>
      </c>
      <c r="F95" s="28"/>
      <c r="G95" s="29" t="s">
        <v>51</v>
      </c>
      <c r="H95" s="30" t="s">
        <v>61</v>
      </c>
      <c r="I95" s="28" t="s">
        <v>62</v>
      </c>
      <c r="J95" s="28" t="s">
        <v>58</v>
      </c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 t="b">
        <f t="shared" si="2"/>
        <v>1</v>
      </c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>
        <f t="shared" si="3"/>
        <v>0</v>
      </c>
      <c r="BC95" s="28"/>
    </row>
    <row r="96" spans="1:55">
      <c r="A96" s="28">
        <v>94</v>
      </c>
      <c r="B96" s="29">
        <v>500845</v>
      </c>
      <c r="C96" s="28" t="s">
        <v>178</v>
      </c>
      <c r="D96" s="28"/>
      <c r="E96" s="28">
        <v>20190221</v>
      </c>
      <c r="F96" s="28"/>
      <c r="G96" s="29" t="s">
        <v>51</v>
      </c>
      <c r="H96" s="30" t="s">
        <v>61</v>
      </c>
      <c r="I96" s="28" t="s">
        <v>62</v>
      </c>
      <c r="J96" s="28" t="s">
        <v>54</v>
      </c>
      <c r="K96" s="28"/>
      <c r="L96" s="28"/>
      <c r="M96" s="28"/>
      <c r="N96" s="28"/>
      <c r="O96" s="28">
        <v>8</v>
      </c>
      <c r="P96" s="28"/>
      <c r="Q96" s="28"/>
      <c r="R96" s="28"/>
      <c r="S96" s="28"/>
      <c r="T96" s="28"/>
      <c r="U96" s="28"/>
      <c r="V96" s="28"/>
      <c r="W96" s="28"/>
      <c r="X96" s="28"/>
      <c r="Y96" s="28" t="b">
        <f t="shared" si="2"/>
        <v>1</v>
      </c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33">
        <v>8</v>
      </c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>
        <f t="shared" si="3"/>
        <v>8</v>
      </c>
      <c r="BC96" s="28"/>
    </row>
    <row r="97" spans="1:55">
      <c r="A97" s="28">
        <v>95</v>
      </c>
      <c r="B97" s="29">
        <v>500922</v>
      </c>
      <c r="C97" s="28" t="s">
        <v>179</v>
      </c>
      <c r="D97" s="28"/>
      <c r="E97" s="28">
        <v>20191001</v>
      </c>
      <c r="F97" s="28"/>
      <c r="G97" s="29" t="s">
        <v>51</v>
      </c>
      <c r="H97" s="30" t="s">
        <v>61</v>
      </c>
      <c r="I97" s="28" t="s">
        <v>62</v>
      </c>
      <c r="J97" s="28" t="s">
        <v>58</v>
      </c>
      <c r="K97" s="28"/>
      <c r="L97" s="28"/>
      <c r="M97" s="28"/>
      <c r="N97" s="28"/>
      <c r="O97" s="28">
        <v>7</v>
      </c>
      <c r="P97" s="28"/>
      <c r="Q97" s="28"/>
      <c r="R97" s="28"/>
      <c r="S97" s="28"/>
      <c r="T97" s="28"/>
      <c r="U97" s="28"/>
      <c r="V97" s="28"/>
      <c r="W97" s="28"/>
      <c r="X97" s="28"/>
      <c r="Y97" s="28" t="b">
        <f t="shared" si="2"/>
        <v>1</v>
      </c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33">
        <v>7</v>
      </c>
      <c r="AY97" s="28"/>
      <c r="AZ97" s="28"/>
      <c r="BA97" s="28"/>
      <c r="BB97" s="28">
        <f t="shared" si="3"/>
        <v>7</v>
      </c>
      <c r="BC97" s="28"/>
    </row>
    <row r="98" spans="1:55">
      <c r="A98" s="28">
        <v>96</v>
      </c>
      <c r="B98" s="29">
        <v>500924</v>
      </c>
      <c r="C98" s="28" t="s">
        <v>180</v>
      </c>
      <c r="D98" s="28"/>
      <c r="E98" s="28">
        <v>20191022</v>
      </c>
      <c r="F98" s="28"/>
      <c r="G98" s="29" t="s">
        <v>51</v>
      </c>
      <c r="H98" s="30" t="s">
        <v>61</v>
      </c>
      <c r="I98" s="28" t="s">
        <v>62</v>
      </c>
      <c r="J98" s="28" t="s">
        <v>54</v>
      </c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 t="b">
        <f t="shared" si="2"/>
        <v>1</v>
      </c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>
        <f t="shared" si="3"/>
        <v>0</v>
      </c>
      <c r="BC98" s="28"/>
    </row>
    <row r="99" spans="1:55">
      <c r="A99" s="28">
        <v>97</v>
      </c>
      <c r="B99" s="29">
        <v>500927</v>
      </c>
      <c r="C99" s="28" t="s">
        <v>182</v>
      </c>
      <c r="D99" s="28"/>
      <c r="E99" s="28">
        <v>20191029</v>
      </c>
      <c r="F99" s="28"/>
      <c r="G99" s="29" t="s">
        <v>51</v>
      </c>
      <c r="H99" s="30" t="s">
        <v>61</v>
      </c>
      <c r="I99" s="28" t="s">
        <v>62</v>
      </c>
      <c r="J99" s="28" t="s">
        <v>54</v>
      </c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 t="b">
        <f t="shared" si="2"/>
        <v>1</v>
      </c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>
        <f t="shared" si="3"/>
        <v>0</v>
      </c>
      <c r="BC99" s="28"/>
    </row>
    <row r="100" spans="1:55">
      <c r="A100" s="28">
        <v>98</v>
      </c>
      <c r="B100" s="29">
        <v>500928</v>
      </c>
      <c r="C100" s="28" t="s">
        <v>183</v>
      </c>
      <c r="D100" s="28"/>
      <c r="E100" s="28">
        <v>20191029</v>
      </c>
      <c r="F100" s="28"/>
      <c r="G100" s="29" t="s">
        <v>51</v>
      </c>
      <c r="H100" s="30" t="s">
        <v>61</v>
      </c>
      <c r="I100" s="28" t="s">
        <v>62</v>
      </c>
      <c r="J100" s="28" t="s">
        <v>54</v>
      </c>
      <c r="K100" s="28"/>
      <c r="L100" s="28"/>
      <c r="M100" s="28"/>
      <c r="N100" s="28"/>
      <c r="O100" s="28">
        <v>8</v>
      </c>
      <c r="P100" s="28"/>
      <c r="Q100" s="28"/>
      <c r="R100" s="28"/>
      <c r="S100" s="28"/>
      <c r="T100" s="28"/>
      <c r="U100" s="28"/>
      <c r="V100" s="28"/>
      <c r="W100" s="28"/>
      <c r="X100" s="28"/>
      <c r="Y100" s="28" t="b">
        <f t="shared" si="2"/>
        <v>1</v>
      </c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33">
        <v>8</v>
      </c>
      <c r="AX100" s="28"/>
      <c r="AY100" s="28"/>
      <c r="AZ100" s="28"/>
      <c r="BA100" s="28"/>
      <c r="BB100" s="28">
        <f t="shared" si="3"/>
        <v>8</v>
      </c>
      <c r="BC100" s="28"/>
    </row>
    <row r="101" spans="1:55">
      <c r="A101" s="28">
        <v>99</v>
      </c>
      <c r="B101" s="29">
        <v>500930</v>
      </c>
      <c r="C101" s="28" t="s">
        <v>184</v>
      </c>
      <c r="D101" s="28"/>
      <c r="E101" s="28">
        <v>20191029</v>
      </c>
      <c r="F101" s="28"/>
      <c r="G101" s="29" t="s">
        <v>51</v>
      </c>
      <c r="H101" s="30" t="s">
        <v>61</v>
      </c>
      <c r="I101" s="28" t="s">
        <v>62</v>
      </c>
      <c r="J101" s="28" t="s">
        <v>58</v>
      </c>
      <c r="K101" s="28"/>
      <c r="L101" s="28">
        <v>21</v>
      </c>
      <c r="M101" s="28">
        <v>14</v>
      </c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 t="b">
        <f t="shared" si="2"/>
        <v>1</v>
      </c>
      <c r="Z101" s="28"/>
      <c r="AA101" s="28"/>
      <c r="AB101" s="32">
        <v>7</v>
      </c>
      <c r="AC101" s="28"/>
      <c r="AD101" s="28"/>
      <c r="AE101" s="28"/>
      <c r="AF101" s="28"/>
      <c r="AG101" s="28"/>
      <c r="AH101" s="28"/>
      <c r="AI101" s="32">
        <v>7</v>
      </c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34">
        <v>7</v>
      </c>
      <c r="AZ101" s="34">
        <v>7</v>
      </c>
      <c r="BA101" s="32">
        <v>7</v>
      </c>
      <c r="BB101" s="28">
        <f t="shared" si="3"/>
        <v>35</v>
      </c>
      <c r="BC101" s="28"/>
    </row>
    <row r="102" spans="1:55">
      <c r="A102" s="28">
        <v>100</v>
      </c>
      <c r="B102" s="29">
        <v>500944</v>
      </c>
      <c r="C102" s="28" t="s">
        <v>186</v>
      </c>
      <c r="D102" s="28"/>
      <c r="E102" s="28">
        <v>20191119</v>
      </c>
      <c r="F102" s="28"/>
      <c r="G102" s="29" t="s">
        <v>51</v>
      </c>
      <c r="H102" s="30" t="s">
        <v>61</v>
      </c>
      <c r="I102" s="28" t="s">
        <v>62</v>
      </c>
      <c r="J102" s="28" t="s">
        <v>54</v>
      </c>
      <c r="K102" s="28"/>
      <c r="L102" s="28"/>
      <c r="M102" s="28"/>
      <c r="N102" s="28"/>
      <c r="O102" s="28">
        <v>8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 t="b">
        <f t="shared" si="2"/>
        <v>1</v>
      </c>
      <c r="Z102" s="28"/>
      <c r="AA102" s="28"/>
      <c r="AB102" s="28"/>
      <c r="AC102" s="33">
        <v>8</v>
      </c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>
        <f t="shared" si="3"/>
        <v>8</v>
      </c>
      <c r="BC102" s="28"/>
    </row>
    <row r="103" spans="1:55">
      <c r="A103" s="28">
        <v>101</v>
      </c>
      <c r="B103" s="29">
        <v>500952</v>
      </c>
      <c r="C103" s="28" t="s">
        <v>187</v>
      </c>
      <c r="D103" s="28"/>
      <c r="E103" s="28">
        <v>20191203</v>
      </c>
      <c r="F103" s="28"/>
      <c r="G103" s="29" t="s">
        <v>51</v>
      </c>
      <c r="H103" s="30" t="s">
        <v>61</v>
      </c>
      <c r="I103" s="28" t="s">
        <v>62</v>
      </c>
      <c r="J103" s="28" t="s">
        <v>58</v>
      </c>
      <c r="K103" s="28"/>
      <c r="L103" s="28"/>
      <c r="M103" s="28">
        <v>8</v>
      </c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 t="b">
        <f t="shared" si="2"/>
        <v>1</v>
      </c>
      <c r="Z103" s="28"/>
      <c r="AA103" s="28"/>
      <c r="AB103" s="28"/>
      <c r="AC103" s="28"/>
      <c r="AD103" s="34">
        <v>8</v>
      </c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>
        <f t="shared" si="3"/>
        <v>8</v>
      </c>
      <c r="BC103" s="28"/>
    </row>
    <row r="104" spans="1:55">
      <c r="A104" s="28">
        <v>102</v>
      </c>
      <c r="B104" s="29">
        <v>500959</v>
      </c>
      <c r="C104" s="28" t="s">
        <v>188</v>
      </c>
      <c r="D104" s="28"/>
      <c r="E104" s="28">
        <v>20200114</v>
      </c>
      <c r="F104" s="28"/>
      <c r="G104" s="29" t="s">
        <v>51</v>
      </c>
      <c r="H104" s="30" t="s">
        <v>61</v>
      </c>
      <c r="I104" s="28" t="s">
        <v>62</v>
      </c>
      <c r="J104" s="28" t="s">
        <v>54</v>
      </c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 t="b">
        <f t="shared" si="2"/>
        <v>1</v>
      </c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>
        <f t="shared" si="3"/>
        <v>0</v>
      </c>
      <c r="BC104" s="28"/>
    </row>
    <row r="105" spans="1:55">
      <c r="A105" s="28">
        <v>103</v>
      </c>
      <c r="B105" s="29">
        <v>501042</v>
      </c>
      <c r="C105" s="28" t="s">
        <v>193</v>
      </c>
      <c r="D105" s="28"/>
      <c r="E105" s="28">
        <v>20210601</v>
      </c>
      <c r="F105" s="28"/>
      <c r="G105" s="29" t="s">
        <v>51</v>
      </c>
      <c r="H105" s="30" t="s">
        <v>61</v>
      </c>
      <c r="I105" s="28" t="s">
        <v>62</v>
      </c>
      <c r="J105" s="28" t="s">
        <v>58</v>
      </c>
      <c r="K105" s="28">
        <v>12</v>
      </c>
      <c r="L105" s="28">
        <v>0.5</v>
      </c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 t="b">
        <f t="shared" si="2"/>
        <v>1</v>
      </c>
      <c r="Z105" s="32">
        <v>0.5</v>
      </c>
      <c r="AA105" s="28"/>
      <c r="AB105" s="28"/>
      <c r="AC105" s="28"/>
      <c r="AD105" s="28"/>
      <c r="AE105" s="28"/>
      <c r="AF105" s="28"/>
      <c r="AG105" s="31">
        <v>4</v>
      </c>
      <c r="AH105" s="31">
        <v>8</v>
      </c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>
        <f t="shared" si="3"/>
        <v>12.5</v>
      </c>
      <c r="BC105" s="28"/>
    </row>
    <row r="106" spans="1:55">
      <c r="A106" s="28">
        <v>104</v>
      </c>
      <c r="B106" s="29">
        <v>501099</v>
      </c>
      <c r="C106" s="28" t="s">
        <v>200</v>
      </c>
      <c r="D106" s="28"/>
      <c r="E106" s="28">
        <v>20211209</v>
      </c>
      <c r="F106" s="28"/>
      <c r="G106" s="29" t="s">
        <v>51</v>
      </c>
      <c r="H106" s="30" t="s">
        <v>61</v>
      </c>
      <c r="I106" s="28" t="s">
        <v>62</v>
      </c>
      <c r="J106" s="28" t="s">
        <v>58</v>
      </c>
      <c r="K106" s="28"/>
      <c r="L106" s="28"/>
      <c r="M106" s="28"/>
      <c r="N106" s="28"/>
      <c r="O106" s="28">
        <v>7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 t="b">
        <f t="shared" si="2"/>
        <v>1</v>
      </c>
      <c r="Z106" s="28"/>
      <c r="AA106" s="28"/>
      <c r="AB106" s="28"/>
      <c r="AC106" s="28"/>
      <c r="AD106" s="28"/>
      <c r="AE106" s="33">
        <v>7</v>
      </c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>
        <f t="shared" si="3"/>
        <v>7</v>
      </c>
      <c r="BC106" s="28"/>
    </row>
    <row r="107" spans="1:55">
      <c r="A107" s="28">
        <v>105</v>
      </c>
      <c r="B107" s="29">
        <v>501112</v>
      </c>
      <c r="C107" s="28" t="s">
        <v>202</v>
      </c>
      <c r="D107" s="28"/>
      <c r="E107" s="28">
        <v>20220421</v>
      </c>
      <c r="F107" s="28"/>
      <c r="G107" s="29" t="s">
        <v>51</v>
      </c>
      <c r="H107" s="30" t="s">
        <v>61</v>
      </c>
      <c r="I107" s="28" t="s">
        <v>62</v>
      </c>
      <c r="J107" s="28" t="s">
        <v>54</v>
      </c>
      <c r="K107" s="28"/>
      <c r="L107" s="28"/>
      <c r="M107" s="28">
        <v>7</v>
      </c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 t="b">
        <f t="shared" si="2"/>
        <v>1</v>
      </c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34">
        <v>7</v>
      </c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>
        <f t="shared" si="3"/>
        <v>7</v>
      </c>
      <c r="BC107" s="28"/>
    </row>
    <row r="108" spans="1:55">
      <c r="A108" s="28">
        <v>106</v>
      </c>
      <c r="B108" s="29">
        <v>501114</v>
      </c>
      <c r="C108" s="28" t="s">
        <v>203</v>
      </c>
      <c r="D108" s="28"/>
      <c r="E108" s="28">
        <v>20220510</v>
      </c>
      <c r="F108" s="28"/>
      <c r="G108" s="29" t="s">
        <v>51</v>
      </c>
      <c r="H108" s="30" t="s">
        <v>61</v>
      </c>
      <c r="I108" s="28" t="s">
        <v>62</v>
      </c>
      <c r="J108" s="28" t="s">
        <v>54</v>
      </c>
      <c r="K108" s="28"/>
      <c r="L108" s="28">
        <v>8</v>
      </c>
      <c r="M108" s="28"/>
      <c r="N108" s="28"/>
      <c r="O108" s="28">
        <v>8</v>
      </c>
      <c r="P108" s="28"/>
      <c r="Q108" s="28"/>
      <c r="R108" s="28"/>
      <c r="S108" s="28"/>
      <c r="T108" s="28"/>
      <c r="U108" s="28"/>
      <c r="V108" s="28"/>
      <c r="W108" s="28"/>
      <c r="X108" s="28"/>
      <c r="Y108" s="28" t="b">
        <f t="shared" si="2"/>
        <v>1</v>
      </c>
      <c r="Z108" s="28"/>
      <c r="AA108" s="28"/>
      <c r="AB108" s="28"/>
      <c r="AC108" s="33">
        <v>8</v>
      </c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32">
        <v>8</v>
      </c>
      <c r="AY108" s="28"/>
      <c r="AZ108" s="28"/>
      <c r="BA108" s="28"/>
      <c r="BB108" s="28">
        <f t="shared" si="3"/>
        <v>16</v>
      </c>
      <c r="BC108" s="28"/>
    </row>
    <row r="109" spans="1:55">
      <c r="A109" s="28">
        <v>107</v>
      </c>
      <c r="B109" s="29">
        <v>501235</v>
      </c>
      <c r="C109" s="28" t="s">
        <v>222</v>
      </c>
      <c r="D109" s="28"/>
      <c r="E109" s="28">
        <v>20240718</v>
      </c>
      <c r="F109" s="28"/>
      <c r="G109" s="29" t="s">
        <v>51</v>
      </c>
      <c r="H109" s="30" t="s">
        <v>61</v>
      </c>
      <c r="I109" s="28" t="s">
        <v>62</v>
      </c>
      <c r="J109" s="28" t="s">
        <v>58</v>
      </c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 t="b">
        <f t="shared" si="2"/>
        <v>1</v>
      </c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>
        <f t="shared" si="3"/>
        <v>0</v>
      </c>
      <c r="BC109" s="28"/>
    </row>
    <row r="110" spans="1:55">
      <c r="A110" s="28">
        <v>108</v>
      </c>
      <c r="B110" s="29">
        <v>501271</v>
      </c>
      <c r="C110" s="28" t="s">
        <v>245</v>
      </c>
      <c r="D110" s="28"/>
      <c r="E110" s="28">
        <v>20250328</v>
      </c>
      <c r="F110" s="28"/>
      <c r="G110" s="29" t="s">
        <v>51</v>
      </c>
      <c r="H110" s="30" t="s">
        <v>61</v>
      </c>
      <c r="I110" s="28" t="s">
        <v>62</v>
      </c>
      <c r="J110" s="28" t="s">
        <v>58</v>
      </c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 t="b">
        <f t="shared" si="2"/>
        <v>1</v>
      </c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>
        <f t="shared" si="3"/>
        <v>0</v>
      </c>
      <c r="BC110" s="28"/>
    </row>
    <row r="111" spans="1:55">
      <c r="A111" s="28">
        <v>109</v>
      </c>
      <c r="B111" s="29">
        <v>501279</v>
      </c>
      <c r="C111" s="28" t="s">
        <v>251</v>
      </c>
      <c r="D111" s="28"/>
      <c r="E111" s="28">
        <v>20250506</v>
      </c>
      <c r="F111" s="28"/>
      <c r="G111" s="29" t="s">
        <v>51</v>
      </c>
      <c r="H111" s="30" t="s">
        <v>61</v>
      </c>
      <c r="I111" s="28" t="s">
        <v>62</v>
      </c>
      <c r="J111" s="28" t="s">
        <v>58</v>
      </c>
      <c r="K111" s="28">
        <v>8</v>
      </c>
      <c r="L111" s="28"/>
      <c r="M111" s="28">
        <v>4</v>
      </c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 t="b">
        <f t="shared" si="2"/>
        <v>1</v>
      </c>
      <c r="Z111" s="28"/>
      <c r="AA111" s="28"/>
      <c r="AB111" s="28"/>
      <c r="AC111" s="28"/>
      <c r="AD111" s="28"/>
      <c r="AE111" s="28"/>
      <c r="AF111" s="34">
        <v>4</v>
      </c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31">
        <v>8</v>
      </c>
      <c r="AW111" s="28"/>
      <c r="AX111" s="28"/>
      <c r="AY111" s="28"/>
      <c r="AZ111" s="28"/>
      <c r="BA111" s="28"/>
      <c r="BB111" s="28">
        <f t="shared" si="3"/>
        <v>12</v>
      </c>
      <c r="BC111" s="28"/>
    </row>
    <row r="112" spans="1:55">
      <c r="A112" s="28">
        <v>110</v>
      </c>
      <c r="B112" s="29">
        <v>501285</v>
      </c>
      <c r="C112" s="28" t="s">
        <v>256</v>
      </c>
      <c r="D112" s="28"/>
      <c r="E112" s="28">
        <v>20250529</v>
      </c>
      <c r="F112" s="28"/>
      <c r="G112" s="29" t="s">
        <v>51</v>
      </c>
      <c r="H112" s="30" t="s">
        <v>61</v>
      </c>
      <c r="I112" s="28" t="s">
        <v>62</v>
      </c>
      <c r="J112" s="28" t="s">
        <v>54</v>
      </c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 t="b">
        <f t="shared" si="2"/>
        <v>1</v>
      </c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>
        <f t="shared" si="3"/>
        <v>0</v>
      </c>
      <c r="BC112" s="28"/>
    </row>
    <row r="113" spans="1:55">
      <c r="A113" s="28">
        <v>111</v>
      </c>
      <c r="B113" s="29">
        <v>501292</v>
      </c>
      <c r="C113" s="28" t="s">
        <v>258</v>
      </c>
      <c r="D113" s="28"/>
      <c r="E113" s="28">
        <v>20250624</v>
      </c>
      <c r="F113" s="28"/>
      <c r="G113" s="29" t="s">
        <v>51</v>
      </c>
      <c r="H113" s="30" t="s">
        <v>61</v>
      </c>
      <c r="I113" s="28" t="s">
        <v>62</v>
      </c>
      <c r="J113" s="28" t="s">
        <v>58</v>
      </c>
      <c r="K113" s="28">
        <v>8</v>
      </c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 t="b">
        <f t="shared" si="2"/>
        <v>1</v>
      </c>
      <c r="Z113" s="28"/>
      <c r="AA113" s="28"/>
      <c r="AB113" s="28"/>
      <c r="AC113" s="28"/>
      <c r="AD113" s="28"/>
      <c r="AE113" s="28"/>
      <c r="AF113" s="28"/>
      <c r="AG113" s="28"/>
      <c r="AH113" s="28"/>
      <c r="AI113" s="31">
        <v>8</v>
      </c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>
        <f t="shared" si="3"/>
        <v>8</v>
      </c>
      <c r="BC113" s="28"/>
    </row>
    <row r="114" spans="1:55">
      <c r="A114" s="28">
        <v>112</v>
      </c>
      <c r="B114" s="29">
        <v>501300</v>
      </c>
      <c r="C114" s="28" t="s">
        <v>263</v>
      </c>
      <c r="D114" s="28"/>
      <c r="E114" s="28">
        <v>20251008</v>
      </c>
      <c r="F114" s="28"/>
      <c r="G114" s="29" t="s">
        <v>51</v>
      </c>
      <c r="H114" s="30" t="s">
        <v>61</v>
      </c>
      <c r="I114" s="28" t="s">
        <v>62</v>
      </c>
      <c r="J114" s="28" t="s">
        <v>54</v>
      </c>
      <c r="K114" s="28"/>
      <c r="L114" s="28"/>
      <c r="M114" s="28">
        <v>16</v>
      </c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 t="b">
        <f t="shared" si="2"/>
        <v>1</v>
      </c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34">
        <v>8</v>
      </c>
      <c r="AX114" s="34">
        <v>8</v>
      </c>
      <c r="AY114" s="28"/>
      <c r="AZ114" s="28"/>
      <c r="BA114" s="28"/>
      <c r="BB114" s="28">
        <f t="shared" si="3"/>
        <v>16</v>
      </c>
      <c r="BC114" s="28"/>
    </row>
    <row r="115" spans="1:55">
      <c r="A115" s="28">
        <v>113</v>
      </c>
      <c r="B115" s="29">
        <v>501301</v>
      </c>
      <c r="C115" s="28" t="s">
        <v>264</v>
      </c>
      <c r="D115" s="28"/>
      <c r="E115" s="28">
        <v>20251008</v>
      </c>
      <c r="F115" s="28"/>
      <c r="G115" s="29" t="s">
        <v>51</v>
      </c>
      <c r="H115" s="30" t="s">
        <v>61</v>
      </c>
      <c r="I115" s="28" t="s">
        <v>62</v>
      </c>
      <c r="J115" s="28" t="s">
        <v>58</v>
      </c>
      <c r="K115" s="28"/>
      <c r="L115" s="28">
        <v>0.35</v>
      </c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 t="b">
        <f t="shared" si="2"/>
        <v>1</v>
      </c>
      <c r="Z115" s="28"/>
      <c r="AA115" s="28"/>
      <c r="AB115" s="28"/>
      <c r="AC115" s="32">
        <v>0.35</v>
      </c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>
        <f t="shared" si="3"/>
        <v>0.35</v>
      </c>
      <c r="BC115" s="28"/>
    </row>
    <row r="116" spans="1:55">
      <c r="A116" s="28">
        <v>114</v>
      </c>
      <c r="B116" s="29">
        <v>500242</v>
      </c>
      <c r="C116" s="28" t="s">
        <v>102</v>
      </c>
      <c r="D116" s="28"/>
      <c r="E116" s="28">
        <v>20151229</v>
      </c>
      <c r="F116" s="28"/>
      <c r="G116" s="29" t="s">
        <v>51</v>
      </c>
      <c r="H116" s="30" t="s">
        <v>103</v>
      </c>
      <c r="I116" s="28" t="s">
        <v>104</v>
      </c>
      <c r="J116" s="28" t="s">
        <v>58</v>
      </c>
      <c r="K116" s="28"/>
      <c r="L116" s="28"/>
      <c r="M116" s="28"/>
      <c r="N116" s="28"/>
      <c r="O116" s="28">
        <v>8</v>
      </c>
      <c r="P116" s="28"/>
      <c r="Q116" s="28"/>
      <c r="R116" s="28"/>
      <c r="S116" s="28"/>
      <c r="T116" s="28"/>
      <c r="U116" s="28"/>
      <c r="V116" s="28"/>
      <c r="W116" s="28"/>
      <c r="X116" s="28"/>
      <c r="Y116" s="28" t="b">
        <f t="shared" si="2"/>
        <v>1</v>
      </c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33">
        <v>8</v>
      </c>
      <c r="AW116" s="28"/>
      <c r="AX116" s="28"/>
      <c r="AY116" s="28"/>
      <c r="AZ116" s="28"/>
      <c r="BA116" s="28"/>
      <c r="BB116" s="28">
        <f t="shared" si="3"/>
        <v>8</v>
      </c>
      <c r="BC116" s="28"/>
    </row>
    <row r="117" spans="1:55">
      <c r="A117" s="28">
        <v>115</v>
      </c>
      <c r="B117" s="29">
        <v>500298</v>
      </c>
      <c r="C117" s="28" t="s">
        <v>111</v>
      </c>
      <c r="D117" s="28"/>
      <c r="E117" s="28">
        <v>20160503</v>
      </c>
      <c r="F117" s="28"/>
      <c r="G117" s="29" t="s">
        <v>51</v>
      </c>
      <c r="H117" s="30" t="s">
        <v>103</v>
      </c>
      <c r="I117" s="28" t="s">
        <v>104</v>
      </c>
      <c r="J117" s="28" t="s">
        <v>58</v>
      </c>
      <c r="K117" s="28"/>
      <c r="L117" s="28"/>
      <c r="M117" s="28"/>
      <c r="N117" s="28"/>
      <c r="O117" s="28">
        <v>16</v>
      </c>
      <c r="P117" s="28"/>
      <c r="Q117" s="28"/>
      <c r="R117" s="28"/>
      <c r="S117" s="28"/>
      <c r="T117" s="28"/>
      <c r="U117" s="28"/>
      <c r="V117" s="28"/>
      <c r="W117" s="28"/>
      <c r="X117" s="28"/>
      <c r="Y117" s="28" t="b">
        <f t="shared" si="2"/>
        <v>1</v>
      </c>
      <c r="Z117" s="28"/>
      <c r="AA117" s="33">
        <v>8</v>
      </c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33">
        <v>8</v>
      </c>
      <c r="BA117" s="28"/>
      <c r="BB117" s="28">
        <f t="shared" si="3"/>
        <v>16</v>
      </c>
      <c r="BC117" s="28"/>
    </row>
    <row r="118" spans="1:55">
      <c r="A118" s="28">
        <v>116</v>
      </c>
      <c r="B118" s="29">
        <v>500389</v>
      </c>
      <c r="C118" s="28" t="s">
        <v>130</v>
      </c>
      <c r="D118" s="28"/>
      <c r="E118" s="28">
        <v>20161007</v>
      </c>
      <c r="F118" s="28"/>
      <c r="G118" s="29" t="s">
        <v>51</v>
      </c>
      <c r="H118" s="30" t="s">
        <v>103</v>
      </c>
      <c r="I118" s="28" t="s">
        <v>104</v>
      </c>
      <c r="J118" s="28" t="s">
        <v>54</v>
      </c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 t="b">
        <f t="shared" si="2"/>
        <v>1</v>
      </c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>
        <f t="shared" si="3"/>
        <v>0</v>
      </c>
      <c r="BC118" s="28"/>
    </row>
    <row r="119" spans="1:55">
      <c r="A119" s="28">
        <v>117</v>
      </c>
      <c r="B119" s="29">
        <v>500689</v>
      </c>
      <c r="C119" s="28" t="s">
        <v>159</v>
      </c>
      <c r="D119" s="28"/>
      <c r="E119" s="28">
        <v>20180220</v>
      </c>
      <c r="F119" s="28"/>
      <c r="G119" s="29" t="s">
        <v>51</v>
      </c>
      <c r="H119" s="30" t="s">
        <v>103</v>
      </c>
      <c r="I119" s="28" t="s">
        <v>104</v>
      </c>
      <c r="J119" s="28" t="s">
        <v>58</v>
      </c>
      <c r="K119" s="28"/>
      <c r="L119" s="28"/>
      <c r="M119" s="28"/>
      <c r="N119" s="28"/>
      <c r="O119" s="28">
        <v>32</v>
      </c>
      <c r="P119" s="28"/>
      <c r="Q119" s="28"/>
      <c r="R119" s="28"/>
      <c r="S119" s="28"/>
      <c r="T119" s="28"/>
      <c r="U119" s="28"/>
      <c r="V119" s="28"/>
      <c r="W119" s="28"/>
      <c r="X119" s="28"/>
      <c r="Y119" s="28" t="b">
        <f t="shared" si="2"/>
        <v>1</v>
      </c>
      <c r="Z119" s="28"/>
      <c r="AA119" s="28"/>
      <c r="AB119" s="28"/>
      <c r="AC119" s="28"/>
      <c r="AD119" s="28"/>
      <c r="AE119" s="33">
        <v>8</v>
      </c>
      <c r="AF119" s="28"/>
      <c r="AG119" s="28"/>
      <c r="AH119" s="28"/>
      <c r="AI119" s="33">
        <v>8</v>
      </c>
      <c r="AJ119" s="28"/>
      <c r="AK119" s="28"/>
      <c r="AL119" s="28"/>
      <c r="AM119" s="28"/>
      <c r="AN119" s="28"/>
      <c r="AO119" s="28"/>
      <c r="AP119" s="28"/>
      <c r="AQ119" s="33">
        <v>8</v>
      </c>
      <c r="AR119" s="33">
        <v>8</v>
      </c>
      <c r="AS119" s="28"/>
      <c r="AT119" s="28"/>
      <c r="AU119" s="28"/>
      <c r="AV119" s="28"/>
      <c r="AW119" s="28"/>
      <c r="AX119" s="28"/>
      <c r="AY119" s="28"/>
      <c r="AZ119" s="28"/>
      <c r="BA119" s="28"/>
      <c r="BB119" s="28">
        <f t="shared" si="3"/>
        <v>32</v>
      </c>
      <c r="BC119" s="28"/>
    </row>
    <row r="120" spans="1:55">
      <c r="A120" s="28">
        <v>118</v>
      </c>
      <c r="B120" s="29">
        <v>500756</v>
      </c>
      <c r="C120" s="28" t="s">
        <v>164</v>
      </c>
      <c r="D120" s="28"/>
      <c r="E120" s="28">
        <v>20180612</v>
      </c>
      <c r="F120" s="28"/>
      <c r="G120" s="29" t="s">
        <v>51</v>
      </c>
      <c r="H120" s="30" t="s">
        <v>103</v>
      </c>
      <c r="I120" s="28" t="s">
        <v>104</v>
      </c>
      <c r="J120" s="28" t="s">
        <v>58</v>
      </c>
      <c r="K120" s="28">
        <v>8</v>
      </c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 t="b">
        <f t="shared" si="2"/>
        <v>1</v>
      </c>
      <c r="Z120" s="28"/>
      <c r="AA120" s="28"/>
      <c r="AB120" s="28"/>
      <c r="AC120" s="28"/>
      <c r="AD120" s="31">
        <v>8</v>
      </c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>
        <f t="shared" si="3"/>
        <v>8</v>
      </c>
      <c r="BC120" s="28"/>
    </row>
    <row r="121" spans="1:55">
      <c r="A121" s="28">
        <v>119</v>
      </c>
      <c r="B121" s="29">
        <v>501073</v>
      </c>
      <c r="C121" s="28" t="s">
        <v>195</v>
      </c>
      <c r="D121" s="28"/>
      <c r="E121" s="28">
        <v>20211026</v>
      </c>
      <c r="F121" s="28"/>
      <c r="G121" s="29" t="s">
        <v>51</v>
      </c>
      <c r="H121" s="30" t="s">
        <v>103</v>
      </c>
      <c r="I121" s="28" t="s">
        <v>104</v>
      </c>
      <c r="J121" s="28" t="s">
        <v>54</v>
      </c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 t="b">
        <f t="shared" si="2"/>
        <v>1</v>
      </c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>
        <f t="shared" si="3"/>
        <v>0</v>
      </c>
      <c r="BC121" s="28"/>
    </row>
    <row r="122" spans="1:55">
      <c r="A122" s="28">
        <v>120</v>
      </c>
      <c r="B122" s="29">
        <v>501252</v>
      </c>
      <c r="C122" s="28" t="s">
        <v>234</v>
      </c>
      <c r="D122" s="28"/>
      <c r="E122" s="28">
        <v>20241022</v>
      </c>
      <c r="F122" s="28"/>
      <c r="G122" s="29" t="s">
        <v>51</v>
      </c>
      <c r="H122" s="30" t="s">
        <v>103</v>
      </c>
      <c r="I122" s="28" t="s">
        <v>104</v>
      </c>
      <c r="J122" s="28" t="s">
        <v>58</v>
      </c>
      <c r="K122" s="28">
        <v>8</v>
      </c>
      <c r="L122" s="28">
        <v>27.65</v>
      </c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 t="b">
        <f t="shared" si="2"/>
        <v>1</v>
      </c>
      <c r="Z122" s="28"/>
      <c r="AA122" s="28"/>
      <c r="AB122" s="32">
        <v>7.65</v>
      </c>
      <c r="AC122" s="32">
        <v>8</v>
      </c>
      <c r="AD122" s="28"/>
      <c r="AE122" s="28"/>
      <c r="AF122" s="28"/>
      <c r="AG122" s="28"/>
      <c r="AH122" s="32">
        <v>8</v>
      </c>
      <c r="AI122" s="28"/>
      <c r="AJ122" s="28"/>
      <c r="AK122" s="28"/>
      <c r="AL122" s="28"/>
      <c r="AM122" s="32">
        <v>4</v>
      </c>
      <c r="AN122" s="28"/>
      <c r="AO122" s="28"/>
      <c r="AP122" s="28"/>
      <c r="AQ122" s="28"/>
      <c r="AR122" s="28"/>
      <c r="AS122" s="31">
        <v>8</v>
      </c>
      <c r="AT122" s="28"/>
      <c r="AU122" s="28"/>
      <c r="AV122" s="28"/>
      <c r="AW122" s="28"/>
      <c r="AX122" s="28"/>
      <c r="AY122" s="28"/>
      <c r="AZ122" s="28"/>
      <c r="BA122" s="28"/>
      <c r="BB122" s="28">
        <f t="shared" si="3"/>
        <v>35.65</v>
      </c>
      <c r="BC122" s="28"/>
    </row>
    <row r="123" spans="1:55">
      <c r="A123" s="28">
        <v>121</v>
      </c>
      <c r="B123" s="29">
        <v>500349</v>
      </c>
      <c r="C123" s="28" t="s">
        <v>120</v>
      </c>
      <c r="D123" s="28"/>
      <c r="E123" s="28">
        <v>20160728</v>
      </c>
      <c r="F123" s="28"/>
      <c r="G123" s="29" t="s">
        <v>51</v>
      </c>
      <c r="H123" s="30" t="s">
        <v>121</v>
      </c>
      <c r="I123" s="28" t="s">
        <v>122</v>
      </c>
      <c r="J123" s="28" t="s">
        <v>54</v>
      </c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 t="b">
        <f t="shared" si="2"/>
        <v>1</v>
      </c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>
        <f t="shared" si="3"/>
        <v>0</v>
      </c>
      <c r="BC123" s="28"/>
    </row>
    <row r="124" spans="1:55">
      <c r="A124" s="28">
        <v>122</v>
      </c>
      <c r="B124" s="29">
        <v>500800</v>
      </c>
      <c r="C124" s="28" t="s">
        <v>172</v>
      </c>
      <c r="D124" s="28"/>
      <c r="E124" s="28">
        <v>20181009</v>
      </c>
      <c r="F124" s="28"/>
      <c r="G124" s="29" t="s">
        <v>51</v>
      </c>
      <c r="H124" s="30" t="s">
        <v>121</v>
      </c>
      <c r="I124" s="28" t="s">
        <v>122</v>
      </c>
      <c r="J124" s="28" t="s">
        <v>58</v>
      </c>
      <c r="K124" s="28"/>
      <c r="L124" s="28"/>
      <c r="M124" s="28"/>
      <c r="N124" s="28"/>
      <c r="O124" s="28">
        <v>8</v>
      </c>
      <c r="P124" s="28"/>
      <c r="Q124" s="28"/>
      <c r="R124" s="28"/>
      <c r="S124" s="28"/>
      <c r="T124" s="28"/>
      <c r="U124" s="28"/>
      <c r="V124" s="28"/>
      <c r="W124" s="28"/>
      <c r="X124" s="28"/>
      <c r="Y124" s="28" t="b">
        <f t="shared" si="2"/>
        <v>1</v>
      </c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33">
        <v>8</v>
      </c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>
        <f t="shared" si="3"/>
        <v>8</v>
      </c>
      <c r="BC124" s="28"/>
    </row>
    <row r="125" spans="1:55">
      <c r="A125" s="28">
        <v>123</v>
      </c>
      <c r="B125" s="29">
        <v>501228</v>
      </c>
      <c r="C125" s="28" t="s">
        <v>219</v>
      </c>
      <c r="D125" s="28"/>
      <c r="E125" s="28">
        <v>20240702</v>
      </c>
      <c r="F125" s="28"/>
      <c r="G125" s="29" t="s">
        <v>51</v>
      </c>
      <c r="H125" s="30" t="s">
        <v>121</v>
      </c>
      <c r="I125" s="28" t="s">
        <v>122</v>
      </c>
      <c r="J125" s="28" t="s">
        <v>54</v>
      </c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 t="b">
        <f t="shared" si="2"/>
        <v>1</v>
      </c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>
        <f t="shared" si="3"/>
        <v>0</v>
      </c>
      <c r="BC125" s="28"/>
    </row>
    <row r="126" spans="1:55">
      <c r="A126" s="28">
        <v>124</v>
      </c>
      <c r="B126" s="29">
        <v>501239</v>
      </c>
      <c r="C126" s="28" t="s">
        <v>224</v>
      </c>
      <c r="D126" s="28"/>
      <c r="E126" s="28">
        <v>20240827</v>
      </c>
      <c r="F126" s="28"/>
      <c r="G126" s="29" t="s">
        <v>51</v>
      </c>
      <c r="H126" s="30" t="s">
        <v>121</v>
      </c>
      <c r="I126" s="28" t="s">
        <v>122</v>
      </c>
      <c r="J126" s="28" t="s">
        <v>54</v>
      </c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 t="b">
        <f t="shared" si="2"/>
        <v>1</v>
      </c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>
        <f t="shared" si="3"/>
        <v>0</v>
      </c>
      <c r="BC126" s="28"/>
    </row>
    <row r="127" spans="1:55">
      <c r="A127" s="28">
        <v>125</v>
      </c>
      <c r="B127" s="29">
        <v>501273</v>
      </c>
      <c r="C127" s="28" t="s">
        <v>246</v>
      </c>
      <c r="D127" s="28"/>
      <c r="E127" s="28">
        <v>20250423</v>
      </c>
      <c r="F127" s="28"/>
      <c r="G127" s="29" t="s">
        <v>51</v>
      </c>
      <c r="H127" s="30" t="s">
        <v>121</v>
      </c>
      <c r="I127" s="28" t="s">
        <v>122</v>
      </c>
      <c r="J127" s="28" t="s">
        <v>54</v>
      </c>
      <c r="K127" s="28">
        <v>4</v>
      </c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 t="b">
        <f t="shared" si="2"/>
        <v>1</v>
      </c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31">
        <v>4</v>
      </c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>
        <f t="shared" si="3"/>
        <v>4</v>
      </c>
      <c r="BC127" s="28"/>
    </row>
    <row r="128" spans="1:55">
      <c r="A128" s="28">
        <v>126</v>
      </c>
      <c r="B128" s="29">
        <v>500314</v>
      </c>
      <c r="C128" s="28" t="s">
        <v>113</v>
      </c>
      <c r="D128" s="28"/>
      <c r="E128" s="28">
        <v>20160526</v>
      </c>
      <c r="F128" s="28"/>
      <c r="G128" s="29" t="s">
        <v>51</v>
      </c>
      <c r="H128" s="30" t="s">
        <v>114</v>
      </c>
      <c r="I128" s="28" t="s">
        <v>115</v>
      </c>
      <c r="J128" s="28" t="s">
        <v>58</v>
      </c>
      <c r="K128" s="28">
        <v>4</v>
      </c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 t="b">
        <f t="shared" si="2"/>
        <v>1</v>
      </c>
      <c r="Z128" s="28"/>
      <c r="AA128" s="28"/>
      <c r="AB128" s="28"/>
      <c r="AC128" s="28"/>
      <c r="AD128" s="28"/>
      <c r="AE128" s="28"/>
      <c r="AF128" s="31">
        <v>4</v>
      </c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>
        <f t="shared" si="3"/>
        <v>4</v>
      </c>
      <c r="BC128" s="28"/>
    </row>
    <row r="129" spans="1:55">
      <c r="A129" s="28">
        <v>127</v>
      </c>
      <c r="B129" s="29">
        <v>500316</v>
      </c>
      <c r="C129" s="28" t="s">
        <v>116</v>
      </c>
      <c r="D129" s="28"/>
      <c r="E129" s="28">
        <v>20160602</v>
      </c>
      <c r="F129" s="28"/>
      <c r="G129" s="29" t="s">
        <v>51</v>
      </c>
      <c r="H129" s="30" t="s">
        <v>114</v>
      </c>
      <c r="I129" s="28" t="s">
        <v>115</v>
      </c>
      <c r="J129" s="28" t="s">
        <v>58</v>
      </c>
      <c r="K129" s="28">
        <v>8</v>
      </c>
      <c r="L129" s="28">
        <v>0.79</v>
      </c>
      <c r="M129" s="28">
        <v>35.480000000000004</v>
      </c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 t="b">
        <f t="shared" si="2"/>
        <v>1</v>
      </c>
      <c r="Z129" s="28"/>
      <c r="AA129" s="28"/>
      <c r="AB129" s="32">
        <v>0.46</v>
      </c>
      <c r="AC129" s="32">
        <v>0.33</v>
      </c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31">
        <v>8</v>
      </c>
      <c r="AO129" s="28"/>
      <c r="AP129" s="28"/>
      <c r="AQ129" s="28"/>
      <c r="AR129" s="28"/>
      <c r="AS129" s="28"/>
      <c r="AT129" s="28"/>
      <c r="AU129" s="28"/>
      <c r="AV129" s="28"/>
      <c r="AW129" s="34">
        <v>7.48</v>
      </c>
      <c r="AX129" s="34">
        <v>8</v>
      </c>
      <c r="AY129" s="34">
        <v>8</v>
      </c>
      <c r="AZ129" s="34">
        <v>8</v>
      </c>
      <c r="BA129" s="34">
        <v>4</v>
      </c>
      <c r="BB129" s="28">
        <f t="shared" si="3"/>
        <v>44.269999999999996</v>
      </c>
      <c r="BC129" s="28"/>
    </row>
    <row r="130" spans="1:55">
      <c r="A130" s="28">
        <v>128</v>
      </c>
      <c r="B130" s="29">
        <v>500317</v>
      </c>
      <c r="C130" s="28" t="s">
        <v>117</v>
      </c>
      <c r="D130" s="28"/>
      <c r="E130" s="28">
        <v>20160602</v>
      </c>
      <c r="F130" s="28"/>
      <c r="G130" s="29" t="s">
        <v>51</v>
      </c>
      <c r="H130" s="30" t="s">
        <v>114</v>
      </c>
      <c r="I130" s="28" t="s">
        <v>115</v>
      </c>
      <c r="J130" s="28" t="s">
        <v>58</v>
      </c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 t="b">
        <f t="shared" si="2"/>
        <v>1</v>
      </c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>
        <f t="shared" si="3"/>
        <v>0</v>
      </c>
      <c r="BC130" s="28"/>
    </row>
    <row r="131" spans="1:55">
      <c r="A131" s="28">
        <v>129</v>
      </c>
      <c r="B131" s="29">
        <v>500694</v>
      </c>
      <c r="C131" s="28" t="s">
        <v>160</v>
      </c>
      <c r="D131" s="28"/>
      <c r="E131" s="28">
        <v>20180227</v>
      </c>
      <c r="F131" s="28"/>
      <c r="G131" s="29" t="s">
        <v>51</v>
      </c>
      <c r="H131" s="30" t="s">
        <v>114</v>
      </c>
      <c r="I131" s="28" t="s">
        <v>115</v>
      </c>
      <c r="J131" s="28" t="s">
        <v>58</v>
      </c>
      <c r="K131" s="28">
        <v>14</v>
      </c>
      <c r="L131" s="28">
        <v>3</v>
      </c>
      <c r="M131" s="28"/>
      <c r="N131" s="28"/>
      <c r="O131" s="28">
        <v>7</v>
      </c>
      <c r="P131" s="28"/>
      <c r="Q131" s="28"/>
      <c r="R131" s="28"/>
      <c r="S131" s="28"/>
      <c r="T131" s="28"/>
      <c r="U131" s="28"/>
      <c r="V131" s="28"/>
      <c r="W131" s="28"/>
      <c r="X131" s="28"/>
      <c r="Y131" s="28" t="b">
        <f t="shared" ref="Y131:Y194" si="4">SUM(K131:X131)=SUM(Z131:BA131)</f>
        <v>1</v>
      </c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33">
        <v>7</v>
      </c>
      <c r="AK131" s="28"/>
      <c r="AL131" s="28"/>
      <c r="AM131" s="28"/>
      <c r="AN131" s="28"/>
      <c r="AO131" s="28"/>
      <c r="AP131" s="28"/>
      <c r="AQ131" s="28"/>
      <c r="AR131" s="28"/>
      <c r="AS131" s="32">
        <v>3</v>
      </c>
      <c r="AT131" s="28"/>
      <c r="AU131" s="31">
        <v>7</v>
      </c>
      <c r="AV131" s="28"/>
      <c r="AW131" s="28"/>
      <c r="AX131" s="31">
        <v>7</v>
      </c>
      <c r="AY131" s="28"/>
      <c r="AZ131" s="28"/>
      <c r="BA131" s="28"/>
      <c r="BB131" s="28">
        <f t="shared" ref="BB131:BB194" si="5">SUM(Z131:BA131)</f>
        <v>24</v>
      </c>
      <c r="BC131" s="28"/>
    </row>
    <row r="132" spans="1:55">
      <c r="A132" s="28">
        <v>130</v>
      </c>
      <c r="B132" s="29">
        <v>500939</v>
      </c>
      <c r="C132" s="28" t="s">
        <v>185</v>
      </c>
      <c r="D132" s="28"/>
      <c r="E132" s="28">
        <v>20191115</v>
      </c>
      <c r="F132" s="28"/>
      <c r="G132" s="29" t="s">
        <v>51</v>
      </c>
      <c r="H132" s="30" t="s">
        <v>114</v>
      </c>
      <c r="I132" s="28" t="s">
        <v>115</v>
      </c>
      <c r="J132" s="28" t="s">
        <v>58</v>
      </c>
      <c r="K132" s="28"/>
      <c r="L132" s="28">
        <v>1.1599999999999999</v>
      </c>
      <c r="M132" s="28"/>
      <c r="N132" s="28"/>
      <c r="O132" s="28">
        <v>16</v>
      </c>
      <c r="P132" s="28"/>
      <c r="Q132" s="28"/>
      <c r="R132" s="28"/>
      <c r="S132" s="28"/>
      <c r="T132" s="28"/>
      <c r="U132" s="28"/>
      <c r="V132" s="28"/>
      <c r="W132" s="28"/>
      <c r="X132" s="28"/>
      <c r="Y132" s="28" t="b">
        <f t="shared" si="4"/>
        <v>1</v>
      </c>
      <c r="Z132" s="33">
        <v>8</v>
      </c>
      <c r="AA132" s="33">
        <v>8</v>
      </c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32">
        <v>0.2</v>
      </c>
      <c r="AO132" s="28"/>
      <c r="AP132" s="28"/>
      <c r="AQ132" s="28"/>
      <c r="AR132" s="28"/>
      <c r="AS132" s="28"/>
      <c r="AT132" s="28"/>
      <c r="AU132" s="28"/>
      <c r="AV132" s="32">
        <v>0.45</v>
      </c>
      <c r="AW132" s="28"/>
      <c r="AX132" s="28"/>
      <c r="AY132" s="32">
        <v>0.31</v>
      </c>
      <c r="AZ132" s="32">
        <v>0.2</v>
      </c>
      <c r="BA132" s="28"/>
      <c r="BB132" s="28">
        <f t="shared" si="5"/>
        <v>17.159999999999997</v>
      </c>
      <c r="BC132" s="28"/>
    </row>
    <row r="133" spans="1:55">
      <c r="A133" s="28">
        <v>131</v>
      </c>
      <c r="B133" s="29">
        <v>500978</v>
      </c>
      <c r="C133" s="28" t="s">
        <v>189</v>
      </c>
      <c r="D133" s="28"/>
      <c r="E133" s="28">
        <v>20200303</v>
      </c>
      <c r="F133" s="28"/>
      <c r="G133" s="29" t="s">
        <v>51</v>
      </c>
      <c r="H133" s="30" t="s">
        <v>114</v>
      </c>
      <c r="I133" s="28" t="s">
        <v>115</v>
      </c>
      <c r="J133" s="28" t="s">
        <v>58</v>
      </c>
      <c r="K133" s="28">
        <v>12.5</v>
      </c>
      <c r="L133" s="28">
        <v>1.77</v>
      </c>
      <c r="M133" s="28">
        <v>8</v>
      </c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 t="b">
        <f t="shared" si="4"/>
        <v>1</v>
      </c>
      <c r="Z133" s="28"/>
      <c r="AA133" s="28"/>
      <c r="AB133" s="28"/>
      <c r="AC133" s="32">
        <v>0.45</v>
      </c>
      <c r="AD133" s="28"/>
      <c r="AE133" s="32">
        <v>0.31</v>
      </c>
      <c r="AF133" s="32">
        <v>0.66</v>
      </c>
      <c r="AG133" s="28"/>
      <c r="AH133" s="31">
        <v>4.5</v>
      </c>
      <c r="AI133" s="28"/>
      <c r="AJ133" s="32">
        <v>0.35</v>
      </c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31">
        <v>8</v>
      </c>
      <c r="AX133" s="28"/>
      <c r="AY133" s="34">
        <v>8</v>
      </c>
      <c r="AZ133" s="28"/>
      <c r="BA133" s="28"/>
      <c r="BB133" s="28">
        <f t="shared" si="5"/>
        <v>22.27</v>
      </c>
      <c r="BC133" s="28"/>
    </row>
    <row r="134" spans="1:55">
      <c r="A134" s="28">
        <v>132</v>
      </c>
      <c r="B134" s="29">
        <v>501166</v>
      </c>
      <c r="C134" s="28" t="s">
        <v>205</v>
      </c>
      <c r="D134" s="28"/>
      <c r="E134" s="28">
        <v>20221122</v>
      </c>
      <c r="F134" s="28"/>
      <c r="G134" s="29" t="s">
        <v>51</v>
      </c>
      <c r="H134" s="30" t="s">
        <v>114</v>
      </c>
      <c r="I134" s="28" t="s">
        <v>115</v>
      </c>
      <c r="J134" s="28" t="s">
        <v>58</v>
      </c>
      <c r="K134" s="28">
        <v>7</v>
      </c>
      <c r="L134" s="28">
        <v>5</v>
      </c>
      <c r="M134" s="28"/>
      <c r="N134" s="28"/>
      <c r="O134" s="28">
        <v>14</v>
      </c>
      <c r="P134" s="28"/>
      <c r="Q134" s="28"/>
      <c r="R134" s="28"/>
      <c r="S134" s="28"/>
      <c r="T134" s="28"/>
      <c r="U134" s="28"/>
      <c r="V134" s="28"/>
      <c r="W134" s="28"/>
      <c r="X134" s="28"/>
      <c r="Y134" s="28" t="b">
        <f t="shared" si="4"/>
        <v>1</v>
      </c>
      <c r="Z134" s="28"/>
      <c r="AA134" s="28"/>
      <c r="AB134" s="28"/>
      <c r="AC134" s="33">
        <v>7</v>
      </c>
      <c r="AD134" s="32">
        <v>5</v>
      </c>
      <c r="AE134" s="28"/>
      <c r="AF134" s="28"/>
      <c r="AG134" s="28"/>
      <c r="AH134" s="28"/>
      <c r="AI134" s="28"/>
      <c r="AJ134" s="28"/>
      <c r="AK134" s="28"/>
      <c r="AL134" s="28"/>
      <c r="AM134" s="28"/>
      <c r="AN134" s="31">
        <v>7</v>
      </c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33">
        <v>7</v>
      </c>
      <c r="AZ134" s="28"/>
      <c r="BA134" s="28"/>
      <c r="BB134" s="28">
        <f t="shared" si="5"/>
        <v>26</v>
      </c>
      <c r="BC134" s="28"/>
    </row>
    <row r="135" spans="1:55">
      <c r="A135" s="28">
        <v>133</v>
      </c>
      <c r="B135" s="29">
        <v>501247</v>
      </c>
      <c r="C135" s="28" t="s">
        <v>229</v>
      </c>
      <c r="D135" s="28"/>
      <c r="E135" s="28">
        <v>20240913</v>
      </c>
      <c r="F135" s="28"/>
      <c r="G135" s="29" t="s">
        <v>51</v>
      </c>
      <c r="H135" s="30" t="s">
        <v>114</v>
      </c>
      <c r="I135" s="28" t="s">
        <v>115</v>
      </c>
      <c r="J135" s="28" t="s">
        <v>58</v>
      </c>
      <c r="K135" s="28">
        <v>7</v>
      </c>
      <c r="L135" s="28">
        <v>3.44</v>
      </c>
      <c r="M135" s="28"/>
      <c r="N135" s="28"/>
      <c r="O135" s="28">
        <v>7</v>
      </c>
      <c r="P135" s="28"/>
      <c r="Q135" s="28"/>
      <c r="R135" s="28"/>
      <c r="S135" s="28"/>
      <c r="T135" s="28"/>
      <c r="U135" s="28"/>
      <c r="V135" s="28"/>
      <c r="W135" s="28"/>
      <c r="X135" s="28"/>
      <c r="Y135" s="28" t="b">
        <f t="shared" si="4"/>
        <v>1</v>
      </c>
      <c r="Z135" s="28"/>
      <c r="AA135" s="28"/>
      <c r="AB135" s="28"/>
      <c r="AC135" s="28"/>
      <c r="AD135" s="28"/>
      <c r="AE135" s="28"/>
      <c r="AF135" s="31">
        <v>7</v>
      </c>
      <c r="AG135" s="28"/>
      <c r="AH135" s="32">
        <v>0.46</v>
      </c>
      <c r="AI135" s="28"/>
      <c r="AJ135" s="28"/>
      <c r="AK135" s="28"/>
      <c r="AL135" s="28"/>
      <c r="AM135" s="33">
        <v>7</v>
      </c>
      <c r="AN135" s="32">
        <v>2.98</v>
      </c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>
        <f t="shared" si="5"/>
        <v>17.440000000000001</v>
      </c>
      <c r="BC135" s="28"/>
    </row>
    <row r="136" spans="1:55">
      <c r="A136" s="28">
        <v>134</v>
      </c>
      <c r="B136" s="29">
        <v>500012</v>
      </c>
      <c r="C136" s="28" t="s">
        <v>64</v>
      </c>
      <c r="D136" s="28"/>
      <c r="E136" s="28">
        <v>20141001</v>
      </c>
      <c r="F136" s="28"/>
      <c r="G136" s="29" t="s">
        <v>51</v>
      </c>
      <c r="H136" s="30" t="s">
        <v>65</v>
      </c>
      <c r="I136" s="28" t="s">
        <v>66</v>
      </c>
      <c r="J136" s="28" t="s">
        <v>54</v>
      </c>
      <c r="K136" s="28"/>
      <c r="L136" s="28"/>
      <c r="M136" s="28">
        <v>208</v>
      </c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 t="b">
        <f t="shared" si="4"/>
        <v>1</v>
      </c>
      <c r="Z136" s="34">
        <v>8</v>
      </c>
      <c r="AA136" s="34">
        <v>8</v>
      </c>
      <c r="AB136" s="34">
        <v>8</v>
      </c>
      <c r="AC136" s="34">
        <v>8</v>
      </c>
      <c r="AD136" s="34">
        <v>8</v>
      </c>
      <c r="AE136" s="34">
        <v>8</v>
      </c>
      <c r="AF136" s="34">
        <v>4</v>
      </c>
      <c r="AG136" s="34">
        <v>8</v>
      </c>
      <c r="AH136" s="34">
        <v>8</v>
      </c>
      <c r="AI136" s="34">
        <v>8</v>
      </c>
      <c r="AJ136" s="34">
        <v>8</v>
      </c>
      <c r="AK136" s="34">
        <v>8</v>
      </c>
      <c r="AL136" s="34">
        <v>8</v>
      </c>
      <c r="AM136" s="34">
        <v>4</v>
      </c>
      <c r="AN136" s="34">
        <v>8</v>
      </c>
      <c r="AO136" s="34">
        <v>8</v>
      </c>
      <c r="AP136" s="34">
        <v>8</v>
      </c>
      <c r="AQ136" s="34">
        <v>8</v>
      </c>
      <c r="AR136" s="34">
        <v>8</v>
      </c>
      <c r="AS136" s="34">
        <v>8</v>
      </c>
      <c r="AT136" s="34">
        <v>4</v>
      </c>
      <c r="AU136" s="34">
        <v>8</v>
      </c>
      <c r="AV136" s="34">
        <v>8</v>
      </c>
      <c r="AW136" s="34">
        <v>8</v>
      </c>
      <c r="AX136" s="34">
        <v>8</v>
      </c>
      <c r="AY136" s="34">
        <v>8</v>
      </c>
      <c r="AZ136" s="34">
        <v>8</v>
      </c>
      <c r="BA136" s="34">
        <v>4</v>
      </c>
      <c r="BB136" s="28">
        <f t="shared" si="5"/>
        <v>208</v>
      </c>
      <c r="BC136" s="28"/>
    </row>
    <row r="137" spans="1:55">
      <c r="A137" s="28">
        <v>135</v>
      </c>
      <c r="B137" s="29">
        <v>500073</v>
      </c>
      <c r="C137" s="28" t="s">
        <v>80</v>
      </c>
      <c r="D137" s="28"/>
      <c r="E137" s="28">
        <v>20150610</v>
      </c>
      <c r="F137" s="28"/>
      <c r="G137" s="29" t="s">
        <v>51</v>
      </c>
      <c r="H137" s="30" t="s">
        <v>65</v>
      </c>
      <c r="I137" s="28" t="s">
        <v>66</v>
      </c>
      <c r="J137" s="28" t="s">
        <v>54</v>
      </c>
      <c r="K137" s="28"/>
      <c r="L137" s="28"/>
      <c r="M137" s="28">
        <v>24</v>
      </c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 t="b">
        <f t="shared" si="4"/>
        <v>1</v>
      </c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34">
        <v>8</v>
      </c>
      <c r="AX137" s="34">
        <v>8</v>
      </c>
      <c r="AY137" s="34">
        <v>8</v>
      </c>
      <c r="AZ137" s="28"/>
      <c r="BA137" s="28"/>
      <c r="BB137" s="28">
        <f t="shared" si="5"/>
        <v>24</v>
      </c>
      <c r="BC137" s="28"/>
    </row>
    <row r="138" spans="1:55">
      <c r="A138" s="28">
        <v>136</v>
      </c>
      <c r="B138" s="29">
        <v>500192</v>
      </c>
      <c r="C138" s="28" t="s">
        <v>93</v>
      </c>
      <c r="D138" s="28"/>
      <c r="E138" s="28">
        <v>20151105</v>
      </c>
      <c r="F138" s="28"/>
      <c r="G138" s="29" t="s">
        <v>51</v>
      </c>
      <c r="H138" s="30" t="s">
        <v>65</v>
      </c>
      <c r="I138" s="28" t="s">
        <v>66</v>
      </c>
      <c r="J138" s="28" t="s">
        <v>54</v>
      </c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 t="b">
        <f t="shared" si="4"/>
        <v>1</v>
      </c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>
        <f t="shared" si="5"/>
        <v>0</v>
      </c>
      <c r="BC138" s="28"/>
    </row>
    <row r="139" spans="1:55">
      <c r="A139" s="28">
        <v>137</v>
      </c>
      <c r="B139" s="29">
        <v>500331</v>
      </c>
      <c r="C139" s="28" t="s">
        <v>118</v>
      </c>
      <c r="D139" s="28"/>
      <c r="E139" s="28">
        <v>20160627</v>
      </c>
      <c r="F139" s="28"/>
      <c r="G139" s="29" t="s">
        <v>51</v>
      </c>
      <c r="H139" s="30" t="s">
        <v>65</v>
      </c>
      <c r="I139" s="28" t="s">
        <v>66</v>
      </c>
      <c r="J139" s="28" t="s">
        <v>54</v>
      </c>
      <c r="K139" s="28"/>
      <c r="L139" s="28"/>
      <c r="M139" s="28"/>
      <c r="N139" s="28"/>
      <c r="O139" s="28">
        <v>8</v>
      </c>
      <c r="P139" s="28"/>
      <c r="Q139" s="28"/>
      <c r="R139" s="28"/>
      <c r="S139" s="28"/>
      <c r="T139" s="28"/>
      <c r="U139" s="28"/>
      <c r="V139" s="28"/>
      <c r="W139" s="28"/>
      <c r="X139" s="28"/>
      <c r="Y139" s="28" t="b">
        <f t="shared" si="4"/>
        <v>1</v>
      </c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33">
        <v>8</v>
      </c>
      <c r="AT139" s="28"/>
      <c r="AU139" s="28"/>
      <c r="AV139" s="28"/>
      <c r="AW139" s="28"/>
      <c r="AX139" s="28"/>
      <c r="AY139" s="28"/>
      <c r="AZ139" s="28"/>
      <c r="BA139" s="28"/>
      <c r="BB139" s="28">
        <f t="shared" si="5"/>
        <v>8</v>
      </c>
      <c r="BC139" s="28"/>
    </row>
    <row r="140" spans="1:55">
      <c r="A140" s="28">
        <v>138</v>
      </c>
      <c r="B140" s="29">
        <v>500529</v>
      </c>
      <c r="C140" s="28" t="s">
        <v>149</v>
      </c>
      <c r="D140" s="28"/>
      <c r="E140" s="28">
        <v>20170502</v>
      </c>
      <c r="F140" s="28"/>
      <c r="G140" s="29" t="s">
        <v>51</v>
      </c>
      <c r="H140" s="30" t="s">
        <v>65</v>
      </c>
      <c r="I140" s="28" t="s">
        <v>66</v>
      </c>
      <c r="J140" s="28" t="s">
        <v>54</v>
      </c>
      <c r="K140" s="28"/>
      <c r="L140" s="28"/>
      <c r="M140" s="28"/>
      <c r="N140" s="28"/>
      <c r="O140" s="28">
        <v>8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 t="b">
        <f t="shared" si="4"/>
        <v>1</v>
      </c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33">
        <v>8</v>
      </c>
      <c r="AX140" s="28"/>
      <c r="AY140" s="28"/>
      <c r="AZ140" s="28"/>
      <c r="BA140" s="28"/>
      <c r="BB140" s="28">
        <f t="shared" si="5"/>
        <v>8</v>
      </c>
      <c r="BC140" s="28"/>
    </row>
    <row r="141" spans="1:55">
      <c r="A141" s="28">
        <v>139</v>
      </c>
      <c r="B141" s="29">
        <v>500716</v>
      </c>
      <c r="C141" s="28" t="s">
        <v>162</v>
      </c>
      <c r="D141" s="28"/>
      <c r="E141" s="28">
        <v>20180328</v>
      </c>
      <c r="F141" s="28"/>
      <c r="G141" s="29" t="s">
        <v>51</v>
      </c>
      <c r="H141" s="30" t="s">
        <v>65</v>
      </c>
      <c r="I141" s="28" t="s">
        <v>66</v>
      </c>
      <c r="J141" s="28" t="s">
        <v>54</v>
      </c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 t="b">
        <f t="shared" si="4"/>
        <v>1</v>
      </c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>
        <f t="shared" si="5"/>
        <v>0</v>
      </c>
      <c r="BC141" s="28"/>
    </row>
    <row r="142" spans="1:55">
      <c r="A142" s="28">
        <v>140</v>
      </c>
      <c r="B142" s="29">
        <v>500040</v>
      </c>
      <c r="C142" s="28" t="s">
        <v>70</v>
      </c>
      <c r="D142" s="28"/>
      <c r="E142" s="28">
        <v>20150224</v>
      </c>
      <c r="F142" s="28"/>
      <c r="G142" s="29" t="s">
        <v>51</v>
      </c>
      <c r="H142" s="30" t="s">
        <v>71</v>
      </c>
      <c r="I142" s="28" t="s">
        <v>72</v>
      </c>
      <c r="J142" s="28" t="s">
        <v>54</v>
      </c>
      <c r="K142" s="28"/>
      <c r="L142" s="28"/>
      <c r="M142" s="28"/>
      <c r="N142" s="28"/>
      <c r="O142" s="28">
        <v>24</v>
      </c>
      <c r="P142" s="28"/>
      <c r="Q142" s="28"/>
      <c r="R142" s="28"/>
      <c r="S142" s="28"/>
      <c r="T142" s="28"/>
      <c r="U142" s="28"/>
      <c r="V142" s="28"/>
      <c r="W142" s="28"/>
      <c r="X142" s="28"/>
      <c r="Y142" s="28" t="b">
        <f t="shared" si="4"/>
        <v>1</v>
      </c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33">
        <v>8</v>
      </c>
      <c r="AK142" s="28"/>
      <c r="AL142" s="28"/>
      <c r="AM142" s="28"/>
      <c r="AN142" s="28"/>
      <c r="AO142" s="28"/>
      <c r="AP142" s="28"/>
      <c r="AQ142" s="28"/>
      <c r="AR142" s="33">
        <v>8</v>
      </c>
      <c r="AS142" s="33">
        <v>8</v>
      </c>
      <c r="AT142" s="28"/>
      <c r="AU142" s="28"/>
      <c r="AV142" s="28"/>
      <c r="AW142" s="28"/>
      <c r="AX142" s="28"/>
      <c r="AY142" s="28"/>
      <c r="AZ142" s="28"/>
      <c r="BA142" s="28"/>
      <c r="BB142" s="28">
        <f t="shared" si="5"/>
        <v>24</v>
      </c>
      <c r="BC142" s="28"/>
    </row>
    <row r="143" spans="1:55">
      <c r="A143" s="28">
        <v>141</v>
      </c>
      <c r="B143" s="29">
        <v>500076</v>
      </c>
      <c r="C143" s="28" t="s">
        <v>81</v>
      </c>
      <c r="D143" s="28"/>
      <c r="E143" s="28">
        <v>20150615</v>
      </c>
      <c r="F143" s="28"/>
      <c r="G143" s="29" t="s">
        <v>51</v>
      </c>
      <c r="H143" s="30" t="s">
        <v>71</v>
      </c>
      <c r="I143" s="28" t="s">
        <v>72</v>
      </c>
      <c r="J143" s="28" t="s">
        <v>54</v>
      </c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 t="b">
        <f t="shared" si="4"/>
        <v>1</v>
      </c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>
        <f t="shared" si="5"/>
        <v>0</v>
      </c>
      <c r="BC143" s="28"/>
    </row>
    <row r="144" spans="1:55">
      <c r="A144" s="28">
        <v>142</v>
      </c>
      <c r="B144" s="29">
        <v>500115</v>
      </c>
      <c r="C144" s="28" t="s">
        <v>85</v>
      </c>
      <c r="D144" s="28"/>
      <c r="E144" s="28">
        <v>20150724</v>
      </c>
      <c r="F144" s="28"/>
      <c r="G144" s="29" t="s">
        <v>51</v>
      </c>
      <c r="H144" s="30" t="s">
        <v>71</v>
      </c>
      <c r="I144" s="28" t="s">
        <v>72</v>
      </c>
      <c r="J144" s="28" t="s">
        <v>54</v>
      </c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 t="b">
        <f t="shared" si="4"/>
        <v>1</v>
      </c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>
        <f t="shared" si="5"/>
        <v>0</v>
      </c>
      <c r="BC144" s="28"/>
    </row>
    <row r="145" spans="1:55">
      <c r="A145" s="28">
        <v>143</v>
      </c>
      <c r="B145" s="29">
        <v>500156</v>
      </c>
      <c r="C145" s="28" t="s">
        <v>88</v>
      </c>
      <c r="D145" s="28"/>
      <c r="E145" s="28">
        <v>20150901</v>
      </c>
      <c r="F145" s="28"/>
      <c r="G145" s="29" t="s">
        <v>51</v>
      </c>
      <c r="H145" s="30" t="s">
        <v>71</v>
      </c>
      <c r="I145" s="28" t="s">
        <v>72</v>
      </c>
      <c r="J145" s="28" t="s">
        <v>54</v>
      </c>
      <c r="K145" s="28">
        <v>7</v>
      </c>
      <c r="L145" s="28">
        <v>0.5</v>
      </c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 t="b">
        <f t="shared" si="4"/>
        <v>1</v>
      </c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32">
        <v>0.5</v>
      </c>
      <c r="AW145" s="31">
        <v>7</v>
      </c>
      <c r="AX145" s="28"/>
      <c r="AY145" s="28"/>
      <c r="AZ145" s="28"/>
      <c r="BA145" s="28"/>
      <c r="BB145" s="28">
        <f t="shared" si="5"/>
        <v>7.5</v>
      </c>
      <c r="BC145" s="28"/>
    </row>
    <row r="146" spans="1:55">
      <c r="A146" s="28">
        <v>144</v>
      </c>
      <c r="B146" s="29">
        <v>500538</v>
      </c>
      <c r="C146" s="28" t="s">
        <v>151</v>
      </c>
      <c r="D146" s="28"/>
      <c r="E146" s="28">
        <v>20170523</v>
      </c>
      <c r="F146" s="28"/>
      <c r="G146" s="29" t="s">
        <v>51</v>
      </c>
      <c r="H146" s="30" t="s">
        <v>71</v>
      </c>
      <c r="I146" s="28" t="s">
        <v>72</v>
      </c>
      <c r="J146" s="28" t="s">
        <v>58</v>
      </c>
      <c r="K146" s="28"/>
      <c r="L146" s="28"/>
      <c r="M146" s="28">
        <v>120</v>
      </c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 t="b">
        <f t="shared" si="4"/>
        <v>1</v>
      </c>
      <c r="Z146" s="34">
        <v>8</v>
      </c>
      <c r="AA146" s="34">
        <v>8</v>
      </c>
      <c r="AB146" s="34">
        <v>8</v>
      </c>
      <c r="AC146" s="34">
        <v>8</v>
      </c>
      <c r="AD146" s="34">
        <v>8</v>
      </c>
      <c r="AE146" s="34">
        <v>8</v>
      </c>
      <c r="AF146" s="34">
        <v>4</v>
      </c>
      <c r="AG146" s="34">
        <v>8</v>
      </c>
      <c r="AH146" s="34">
        <v>8</v>
      </c>
      <c r="AI146" s="34">
        <v>8</v>
      </c>
      <c r="AJ146" s="34">
        <v>8</v>
      </c>
      <c r="AK146" s="34">
        <v>8</v>
      </c>
      <c r="AL146" s="34">
        <v>8</v>
      </c>
      <c r="AM146" s="34">
        <v>4</v>
      </c>
      <c r="AN146" s="34">
        <v>8</v>
      </c>
      <c r="AO146" s="34">
        <v>8</v>
      </c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>
        <f t="shared" si="5"/>
        <v>120</v>
      </c>
      <c r="BC146" s="28"/>
    </row>
    <row r="147" spans="1:55">
      <c r="A147" s="28">
        <v>145</v>
      </c>
      <c r="B147" s="29">
        <v>500784</v>
      </c>
      <c r="C147" s="28" t="s">
        <v>170</v>
      </c>
      <c r="D147" s="28"/>
      <c r="E147" s="28">
        <v>20180823</v>
      </c>
      <c r="F147" s="28"/>
      <c r="G147" s="29" t="s">
        <v>51</v>
      </c>
      <c r="H147" s="30" t="s">
        <v>71</v>
      </c>
      <c r="I147" s="28" t="s">
        <v>72</v>
      </c>
      <c r="J147" s="28" t="s">
        <v>54</v>
      </c>
      <c r="K147" s="28"/>
      <c r="L147" s="28">
        <v>0.5</v>
      </c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 t="b">
        <f t="shared" si="4"/>
        <v>1</v>
      </c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32">
        <v>0.5</v>
      </c>
      <c r="AW147" s="28"/>
      <c r="AX147" s="28"/>
      <c r="AY147" s="28"/>
      <c r="AZ147" s="28"/>
      <c r="BA147" s="28"/>
      <c r="BB147" s="28">
        <f t="shared" si="5"/>
        <v>0.5</v>
      </c>
      <c r="BC147" s="28"/>
    </row>
    <row r="148" spans="1:55">
      <c r="A148" s="28">
        <v>146</v>
      </c>
      <c r="B148" s="29">
        <v>501087</v>
      </c>
      <c r="C148" s="28" t="s">
        <v>197</v>
      </c>
      <c r="D148" s="28"/>
      <c r="E148" s="28">
        <v>20211123</v>
      </c>
      <c r="F148" s="28"/>
      <c r="G148" s="29" t="s">
        <v>51</v>
      </c>
      <c r="H148" s="30" t="s">
        <v>71</v>
      </c>
      <c r="I148" s="28" t="s">
        <v>72</v>
      </c>
      <c r="J148" s="28" t="s">
        <v>58</v>
      </c>
      <c r="K148" s="28"/>
      <c r="L148" s="28"/>
      <c r="M148" s="28"/>
      <c r="N148" s="28"/>
      <c r="O148" s="28">
        <v>14</v>
      </c>
      <c r="P148" s="28"/>
      <c r="Q148" s="28"/>
      <c r="R148" s="28"/>
      <c r="S148" s="28"/>
      <c r="T148" s="28"/>
      <c r="U148" s="28"/>
      <c r="V148" s="28"/>
      <c r="W148" s="28"/>
      <c r="X148" s="28"/>
      <c r="Y148" s="28" t="b">
        <f t="shared" si="4"/>
        <v>1</v>
      </c>
      <c r="Z148" s="28"/>
      <c r="AA148" s="28"/>
      <c r="AB148" s="28"/>
      <c r="AC148" s="28"/>
      <c r="AD148" s="28"/>
      <c r="AE148" s="28"/>
      <c r="AF148" s="28"/>
      <c r="AG148" s="33">
        <v>7</v>
      </c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33">
        <v>7</v>
      </c>
      <c r="AY148" s="28"/>
      <c r="AZ148" s="28"/>
      <c r="BA148" s="28"/>
      <c r="BB148" s="28">
        <f t="shared" si="5"/>
        <v>14</v>
      </c>
      <c r="BC148" s="28"/>
    </row>
    <row r="149" spans="1:55">
      <c r="A149" s="28">
        <v>147</v>
      </c>
      <c r="B149" s="29">
        <v>501225</v>
      </c>
      <c r="C149" s="28" t="s">
        <v>217</v>
      </c>
      <c r="D149" s="28"/>
      <c r="E149" s="28">
        <v>20240619</v>
      </c>
      <c r="F149" s="28"/>
      <c r="G149" s="29" t="s">
        <v>51</v>
      </c>
      <c r="H149" s="30" t="s">
        <v>71</v>
      </c>
      <c r="I149" s="28" t="s">
        <v>72</v>
      </c>
      <c r="J149" s="28" t="s">
        <v>54</v>
      </c>
      <c r="K149" s="28">
        <v>14</v>
      </c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 t="b">
        <f t="shared" si="4"/>
        <v>1</v>
      </c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31">
        <v>7</v>
      </c>
      <c r="AT149" s="28"/>
      <c r="AU149" s="28"/>
      <c r="AV149" s="28"/>
      <c r="AW149" s="28"/>
      <c r="AX149" s="28"/>
      <c r="AY149" s="28"/>
      <c r="AZ149" s="31">
        <v>7</v>
      </c>
      <c r="BA149" s="28"/>
      <c r="BB149" s="28">
        <f t="shared" si="5"/>
        <v>14</v>
      </c>
      <c r="BC149" s="28"/>
    </row>
    <row r="150" spans="1:55">
      <c r="A150" s="28">
        <v>148</v>
      </c>
      <c r="B150" s="29">
        <v>501226</v>
      </c>
      <c r="C150" s="28" t="s">
        <v>218</v>
      </c>
      <c r="D150" s="28"/>
      <c r="E150" s="28">
        <v>20240619</v>
      </c>
      <c r="F150" s="28"/>
      <c r="G150" s="29" t="s">
        <v>51</v>
      </c>
      <c r="H150" s="30" t="s">
        <v>71</v>
      </c>
      <c r="I150" s="28" t="s">
        <v>72</v>
      </c>
      <c r="J150" s="28" t="s">
        <v>54</v>
      </c>
      <c r="K150" s="28">
        <v>7</v>
      </c>
      <c r="L150" s="28">
        <v>0.28000000000000003</v>
      </c>
      <c r="M150" s="28">
        <v>28</v>
      </c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 t="b">
        <f t="shared" si="4"/>
        <v>1</v>
      </c>
      <c r="Z150" s="28"/>
      <c r="AA150" s="28"/>
      <c r="AB150" s="28"/>
      <c r="AC150" s="28"/>
      <c r="AD150" s="28"/>
      <c r="AE150" s="28"/>
      <c r="AF150" s="28"/>
      <c r="AG150" s="31">
        <v>7</v>
      </c>
      <c r="AH150" s="28"/>
      <c r="AI150" s="32">
        <v>0.28000000000000003</v>
      </c>
      <c r="AJ150" s="28"/>
      <c r="AK150" s="28"/>
      <c r="AL150" s="28"/>
      <c r="AM150" s="28"/>
      <c r="AN150" s="28"/>
      <c r="AO150" s="28"/>
      <c r="AP150" s="28"/>
      <c r="AQ150" s="28"/>
      <c r="AR150" s="28"/>
      <c r="AS150" s="34">
        <v>7</v>
      </c>
      <c r="AT150" s="34">
        <v>7</v>
      </c>
      <c r="AU150" s="34">
        <v>7</v>
      </c>
      <c r="AV150" s="28"/>
      <c r="AW150" s="28"/>
      <c r="AX150" s="28"/>
      <c r="AY150" s="28"/>
      <c r="AZ150" s="34">
        <v>7</v>
      </c>
      <c r="BA150" s="28"/>
      <c r="BB150" s="28">
        <f t="shared" si="5"/>
        <v>35.28</v>
      </c>
      <c r="BC150" s="28"/>
    </row>
    <row r="151" spans="1:55">
      <c r="A151" s="28">
        <v>149</v>
      </c>
      <c r="B151" s="29">
        <v>500402</v>
      </c>
      <c r="C151" s="28" t="s">
        <v>131</v>
      </c>
      <c r="D151" s="28"/>
      <c r="E151" s="28">
        <v>20161017</v>
      </c>
      <c r="F151" s="28"/>
      <c r="G151" s="29" t="s">
        <v>51</v>
      </c>
      <c r="H151" s="30" t="s">
        <v>132</v>
      </c>
      <c r="I151" s="28" t="s">
        <v>133</v>
      </c>
      <c r="J151" s="28" t="s">
        <v>54</v>
      </c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 t="b">
        <f t="shared" si="4"/>
        <v>1</v>
      </c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>
        <f t="shared" si="5"/>
        <v>0</v>
      </c>
      <c r="BC151" s="28"/>
    </row>
    <row r="152" spans="1:55">
      <c r="A152" s="28">
        <v>150</v>
      </c>
      <c r="B152" s="29">
        <v>500441</v>
      </c>
      <c r="C152" s="28" t="s">
        <v>139</v>
      </c>
      <c r="D152" s="28"/>
      <c r="E152" s="28">
        <v>20161227</v>
      </c>
      <c r="F152" s="28"/>
      <c r="G152" s="29" t="s">
        <v>51</v>
      </c>
      <c r="H152" s="30" t="s">
        <v>132</v>
      </c>
      <c r="I152" s="28" t="s">
        <v>133</v>
      </c>
      <c r="J152" s="28" t="s">
        <v>54</v>
      </c>
      <c r="K152" s="28"/>
      <c r="L152" s="28">
        <v>0.28000000000000003</v>
      </c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 t="b">
        <f t="shared" si="4"/>
        <v>1</v>
      </c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32">
        <v>0.28000000000000003</v>
      </c>
      <c r="AZ152" s="28"/>
      <c r="BA152" s="28"/>
      <c r="BB152" s="28">
        <f t="shared" si="5"/>
        <v>0.28000000000000003</v>
      </c>
      <c r="BC152" s="28"/>
    </row>
    <row r="153" spans="1:55">
      <c r="A153" s="28">
        <v>151</v>
      </c>
      <c r="B153" s="29">
        <v>500722</v>
      </c>
      <c r="C153" s="28" t="s">
        <v>163</v>
      </c>
      <c r="D153" s="28"/>
      <c r="E153" s="28">
        <v>20180424</v>
      </c>
      <c r="F153" s="28"/>
      <c r="G153" s="29" t="s">
        <v>51</v>
      </c>
      <c r="H153" s="30" t="s">
        <v>132</v>
      </c>
      <c r="I153" s="28" t="s">
        <v>133</v>
      </c>
      <c r="J153" s="28" t="s">
        <v>54</v>
      </c>
      <c r="K153" s="28"/>
      <c r="L153" s="28">
        <v>0.18</v>
      </c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 t="b">
        <f t="shared" si="4"/>
        <v>1</v>
      </c>
      <c r="Z153" s="28"/>
      <c r="AA153" s="28"/>
      <c r="AB153" s="28"/>
      <c r="AC153" s="28"/>
      <c r="AD153" s="28"/>
      <c r="AE153" s="28"/>
      <c r="AF153" s="32">
        <v>0.18</v>
      </c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>
        <f t="shared" si="5"/>
        <v>0.18</v>
      </c>
      <c r="BC153" s="28"/>
    </row>
    <row r="154" spans="1:55">
      <c r="A154" s="28">
        <v>152</v>
      </c>
      <c r="B154" s="29">
        <v>500783</v>
      </c>
      <c r="C154" s="28" t="s">
        <v>169</v>
      </c>
      <c r="D154" s="28"/>
      <c r="E154" s="28">
        <v>20180801</v>
      </c>
      <c r="F154" s="28"/>
      <c r="G154" s="29" t="s">
        <v>51</v>
      </c>
      <c r="H154" s="30" t="s">
        <v>132</v>
      </c>
      <c r="I154" s="28" t="s">
        <v>133</v>
      </c>
      <c r="J154" s="28" t="s">
        <v>54</v>
      </c>
      <c r="K154" s="28"/>
      <c r="L154" s="28">
        <v>2.0099999999999998</v>
      </c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 t="b">
        <f t="shared" si="4"/>
        <v>1</v>
      </c>
      <c r="Z154" s="28"/>
      <c r="AA154" s="28"/>
      <c r="AB154" s="28"/>
      <c r="AC154" s="28"/>
      <c r="AD154" s="28"/>
      <c r="AE154" s="32">
        <v>0.81</v>
      </c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32">
        <v>0.2</v>
      </c>
      <c r="AS154" s="28"/>
      <c r="AT154" s="28"/>
      <c r="AU154" s="28"/>
      <c r="AV154" s="28"/>
      <c r="AW154" s="28"/>
      <c r="AX154" s="28"/>
      <c r="AY154" s="32">
        <v>1</v>
      </c>
      <c r="AZ154" s="28"/>
      <c r="BA154" s="28"/>
      <c r="BB154" s="28">
        <f t="shared" si="5"/>
        <v>2.0099999999999998</v>
      </c>
      <c r="BC154" s="28"/>
    </row>
    <row r="155" spans="1:55">
      <c r="A155" s="28">
        <v>153</v>
      </c>
      <c r="B155" s="29">
        <v>501207</v>
      </c>
      <c r="C155" s="28" t="s">
        <v>212</v>
      </c>
      <c r="D155" s="28"/>
      <c r="E155" s="28">
        <v>20240206</v>
      </c>
      <c r="F155" s="28"/>
      <c r="G155" s="29" t="s">
        <v>51</v>
      </c>
      <c r="H155" s="30" t="s">
        <v>132</v>
      </c>
      <c r="I155" s="28" t="s">
        <v>133</v>
      </c>
      <c r="J155" s="28" t="s">
        <v>54</v>
      </c>
      <c r="K155" s="28">
        <v>0.56000000000000005</v>
      </c>
      <c r="L155" s="28">
        <v>9</v>
      </c>
      <c r="M155" s="28"/>
      <c r="N155" s="28"/>
      <c r="O155" s="28">
        <v>16</v>
      </c>
      <c r="P155" s="28"/>
      <c r="Q155" s="28"/>
      <c r="R155" s="28"/>
      <c r="S155" s="28"/>
      <c r="T155" s="28"/>
      <c r="U155" s="28"/>
      <c r="V155" s="28"/>
      <c r="W155" s="28"/>
      <c r="X155" s="28"/>
      <c r="Y155" s="28" t="b">
        <f t="shared" si="4"/>
        <v>1</v>
      </c>
      <c r="Z155" s="28"/>
      <c r="AA155" s="31">
        <v>0.56000000000000005</v>
      </c>
      <c r="AB155" s="28"/>
      <c r="AC155" s="28"/>
      <c r="AD155" s="28"/>
      <c r="AE155" s="28"/>
      <c r="AF155" s="28"/>
      <c r="AG155" s="28"/>
      <c r="AH155" s="33">
        <v>8</v>
      </c>
      <c r="AI155" s="33">
        <v>8</v>
      </c>
      <c r="AJ155" s="32">
        <v>4</v>
      </c>
      <c r="AK155" s="28"/>
      <c r="AL155" s="28"/>
      <c r="AM155" s="32">
        <v>4</v>
      </c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32">
        <v>1</v>
      </c>
      <c r="AZ155" s="28"/>
      <c r="BA155" s="28"/>
      <c r="BB155" s="28">
        <f t="shared" si="5"/>
        <v>25.560000000000002</v>
      </c>
      <c r="BC155" s="28"/>
    </row>
    <row r="156" spans="1:55">
      <c r="A156" s="28">
        <v>154</v>
      </c>
      <c r="B156" s="29">
        <v>501298</v>
      </c>
      <c r="C156" s="28" t="s">
        <v>261</v>
      </c>
      <c r="D156" s="28"/>
      <c r="E156" s="28">
        <v>20250909</v>
      </c>
      <c r="F156" s="28"/>
      <c r="G156" s="29" t="s">
        <v>51</v>
      </c>
      <c r="H156" s="30" t="s">
        <v>132</v>
      </c>
      <c r="I156" s="28" t="s">
        <v>133</v>
      </c>
      <c r="J156" s="28" t="s">
        <v>54</v>
      </c>
      <c r="K156" s="28"/>
      <c r="L156" s="28"/>
      <c r="M156" s="28">
        <v>12</v>
      </c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 t="b">
        <f t="shared" si="4"/>
        <v>1</v>
      </c>
      <c r="Z156" s="28"/>
      <c r="AA156" s="28"/>
      <c r="AB156" s="28"/>
      <c r="AC156" s="28"/>
      <c r="AD156" s="28"/>
      <c r="AE156" s="34">
        <v>8</v>
      </c>
      <c r="AF156" s="34">
        <v>4</v>
      </c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>
        <f t="shared" si="5"/>
        <v>12</v>
      </c>
      <c r="BC156" s="28"/>
    </row>
    <row r="157" spans="1:55">
      <c r="A157" s="28">
        <v>155</v>
      </c>
      <c r="B157" s="29">
        <v>501307</v>
      </c>
      <c r="C157" s="28" t="s">
        <v>269</v>
      </c>
      <c r="D157" s="28"/>
      <c r="E157" s="28">
        <v>20251111</v>
      </c>
      <c r="F157" s="28"/>
      <c r="G157" s="29" t="s">
        <v>51</v>
      </c>
      <c r="H157" s="30" t="s">
        <v>132</v>
      </c>
      <c r="I157" s="28" t="s">
        <v>133</v>
      </c>
      <c r="J157" s="28" t="s">
        <v>54</v>
      </c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 t="b">
        <f t="shared" si="4"/>
        <v>1</v>
      </c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>
        <f t="shared" si="5"/>
        <v>0</v>
      </c>
      <c r="BC157" s="28"/>
    </row>
    <row r="158" spans="1:55">
      <c r="A158" s="28">
        <v>156</v>
      </c>
      <c r="B158" s="29">
        <v>501308</v>
      </c>
      <c r="C158" s="28" t="s">
        <v>270</v>
      </c>
      <c r="D158" s="28"/>
      <c r="E158" s="28">
        <v>20251111</v>
      </c>
      <c r="F158" s="28"/>
      <c r="G158" s="29" t="s">
        <v>51</v>
      </c>
      <c r="H158" s="30" t="s">
        <v>132</v>
      </c>
      <c r="I158" s="28" t="s">
        <v>133</v>
      </c>
      <c r="J158" s="28" t="s">
        <v>54</v>
      </c>
      <c r="K158" s="28">
        <v>4</v>
      </c>
      <c r="L158" s="28">
        <v>4</v>
      </c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 t="b">
        <f t="shared" si="4"/>
        <v>1</v>
      </c>
      <c r="Z158" s="28"/>
      <c r="AA158" s="28"/>
      <c r="AB158" s="28"/>
      <c r="AC158" s="28"/>
      <c r="AD158" s="28"/>
      <c r="AE158" s="28"/>
      <c r="AF158" s="31">
        <v>4</v>
      </c>
      <c r="AG158" s="28"/>
      <c r="AH158" s="28"/>
      <c r="AI158" s="28"/>
      <c r="AJ158" s="28"/>
      <c r="AK158" s="28"/>
      <c r="AL158" s="28"/>
      <c r="AM158" s="32">
        <v>4</v>
      </c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>
        <f t="shared" si="5"/>
        <v>8</v>
      </c>
      <c r="BC158" s="28"/>
    </row>
    <row r="159" spans="1:55">
      <c r="A159" s="28">
        <v>157</v>
      </c>
      <c r="B159" s="41">
        <v>501309</v>
      </c>
      <c r="C159" s="40" t="s">
        <v>271</v>
      </c>
      <c r="D159" s="40"/>
      <c r="E159" s="40">
        <v>20251111</v>
      </c>
      <c r="F159" s="40">
        <v>20260205</v>
      </c>
      <c r="G159" s="41" t="s">
        <v>51</v>
      </c>
      <c r="H159" s="42" t="s">
        <v>132</v>
      </c>
      <c r="I159" s="40" t="s">
        <v>133</v>
      </c>
      <c r="J159" s="40" t="s">
        <v>54</v>
      </c>
      <c r="K159" s="28"/>
      <c r="L159" s="28">
        <v>8.85</v>
      </c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 t="b">
        <f t="shared" si="4"/>
        <v>1</v>
      </c>
      <c r="Z159" s="28"/>
      <c r="AA159" s="32">
        <v>8</v>
      </c>
      <c r="AB159" s="28"/>
      <c r="AC159" s="32">
        <v>0.6</v>
      </c>
      <c r="AD159" s="32">
        <v>0.25</v>
      </c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>
        <f t="shared" si="5"/>
        <v>8.85</v>
      </c>
      <c r="BC159" s="28"/>
    </row>
    <row r="160" spans="1:55">
      <c r="A160" s="28">
        <v>158</v>
      </c>
      <c r="B160" s="29">
        <v>501310</v>
      </c>
      <c r="C160" s="28" t="s">
        <v>272</v>
      </c>
      <c r="D160" s="28"/>
      <c r="E160" s="28">
        <v>20251111</v>
      </c>
      <c r="F160" s="28"/>
      <c r="G160" s="29" t="s">
        <v>51</v>
      </c>
      <c r="H160" s="30" t="s">
        <v>132</v>
      </c>
      <c r="I160" s="28" t="s">
        <v>133</v>
      </c>
      <c r="J160" s="28" t="s">
        <v>58</v>
      </c>
      <c r="K160" s="28">
        <v>8</v>
      </c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 t="b">
        <f t="shared" si="4"/>
        <v>1</v>
      </c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31">
        <v>8</v>
      </c>
      <c r="AT160" s="28"/>
      <c r="AU160" s="28"/>
      <c r="AV160" s="28"/>
      <c r="AW160" s="28"/>
      <c r="AX160" s="28"/>
      <c r="AY160" s="28"/>
      <c r="AZ160" s="28"/>
      <c r="BA160" s="28"/>
      <c r="BB160" s="28">
        <f t="shared" si="5"/>
        <v>8</v>
      </c>
      <c r="BC160" s="28"/>
    </row>
    <row r="161" spans="1:55">
      <c r="A161" s="28">
        <v>159</v>
      </c>
      <c r="B161" s="29">
        <v>501315</v>
      </c>
      <c r="C161" s="28" t="s">
        <v>428</v>
      </c>
      <c r="D161" s="28"/>
      <c r="E161" s="28">
        <v>20260203</v>
      </c>
      <c r="F161" s="28"/>
      <c r="G161" s="29" t="s">
        <v>51</v>
      </c>
      <c r="H161" s="30" t="s">
        <v>132</v>
      </c>
      <c r="I161" s="28" t="s">
        <v>133</v>
      </c>
      <c r="J161" s="28" t="s">
        <v>58</v>
      </c>
      <c r="K161" s="28"/>
      <c r="L161" s="28">
        <v>32.25</v>
      </c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 t="b">
        <f t="shared" si="4"/>
        <v>1</v>
      </c>
      <c r="Z161" s="28"/>
      <c r="AA161" s="28"/>
      <c r="AB161" s="28"/>
      <c r="AC161" s="28"/>
      <c r="AD161" s="28"/>
      <c r="AE161" s="28"/>
      <c r="AF161" s="28"/>
      <c r="AG161" s="28"/>
      <c r="AH161" s="32">
        <v>8</v>
      </c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32">
        <v>0.25</v>
      </c>
      <c r="AU161" s="28"/>
      <c r="AV161" s="32">
        <v>8</v>
      </c>
      <c r="AW161" s="32">
        <v>8</v>
      </c>
      <c r="AX161" s="28"/>
      <c r="AY161" s="28"/>
      <c r="AZ161" s="32">
        <v>8</v>
      </c>
      <c r="BA161" s="28"/>
      <c r="BB161" s="28">
        <f t="shared" si="5"/>
        <v>32.25</v>
      </c>
      <c r="BC161" s="28"/>
    </row>
    <row r="162" spans="1:55">
      <c r="A162" s="28">
        <v>160</v>
      </c>
      <c r="B162" s="29">
        <v>500056</v>
      </c>
      <c r="C162" s="28" t="s">
        <v>63</v>
      </c>
      <c r="D162" s="28"/>
      <c r="E162" s="28">
        <v>20150518</v>
      </c>
      <c r="F162" s="28"/>
      <c r="G162" s="29" t="s">
        <v>51</v>
      </c>
      <c r="H162" s="30" t="s">
        <v>78</v>
      </c>
      <c r="I162" s="28" t="s">
        <v>79</v>
      </c>
      <c r="J162" s="28" t="s">
        <v>58</v>
      </c>
      <c r="K162" s="28"/>
      <c r="L162" s="28"/>
      <c r="M162" s="28">
        <v>49</v>
      </c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 t="b">
        <f t="shared" si="4"/>
        <v>1</v>
      </c>
      <c r="Z162" s="28"/>
      <c r="AA162" s="28"/>
      <c r="AB162" s="28"/>
      <c r="AC162" s="28"/>
      <c r="AD162" s="28"/>
      <c r="AE162" s="34">
        <v>7</v>
      </c>
      <c r="AF162" s="34">
        <v>7</v>
      </c>
      <c r="AG162" s="28"/>
      <c r="AH162" s="28"/>
      <c r="AI162" s="34">
        <v>7</v>
      </c>
      <c r="AJ162" s="34">
        <v>7</v>
      </c>
      <c r="AK162" s="28"/>
      <c r="AL162" s="28"/>
      <c r="AM162" s="28"/>
      <c r="AN162" s="28"/>
      <c r="AO162" s="28"/>
      <c r="AP162" s="28"/>
      <c r="AQ162" s="28"/>
      <c r="AR162" s="34">
        <v>7</v>
      </c>
      <c r="AS162" s="34">
        <v>7</v>
      </c>
      <c r="AT162" s="34">
        <v>7</v>
      </c>
      <c r="AU162" s="28"/>
      <c r="AV162" s="28"/>
      <c r="AW162" s="28"/>
      <c r="AX162" s="28"/>
      <c r="AY162" s="28"/>
      <c r="AZ162" s="28"/>
      <c r="BA162" s="28"/>
      <c r="BB162" s="28">
        <f t="shared" si="5"/>
        <v>49</v>
      </c>
      <c r="BC162" s="28"/>
    </row>
    <row r="163" spans="1:55">
      <c r="A163" s="28">
        <v>161</v>
      </c>
      <c r="B163" s="29">
        <v>500078</v>
      </c>
      <c r="C163" s="28" t="s">
        <v>82</v>
      </c>
      <c r="D163" s="28"/>
      <c r="E163" s="28">
        <v>20150615</v>
      </c>
      <c r="F163" s="28"/>
      <c r="G163" s="29" t="s">
        <v>51</v>
      </c>
      <c r="H163" s="30" t="s">
        <v>78</v>
      </c>
      <c r="I163" s="28" t="s">
        <v>79</v>
      </c>
      <c r="J163" s="28" t="s">
        <v>54</v>
      </c>
      <c r="K163" s="28"/>
      <c r="L163" s="28">
        <v>7</v>
      </c>
      <c r="M163" s="28">
        <v>28</v>
      </c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 t="b">
        <f t="shared" si="4"/>
        <v>1</v>
      </c>
      <c r="Z163" s="28"/>
      <c r="AA163" s="28"/>
      <c r="AB163" s="28"/>
      <c r="AC163" s="28"/>
      <c r="AD163" s="28"/>
      <c r="AE163" s="28"/>
      <c r="AF163" s="28"/>
      <c r="AG163" s="28"/>
      <c r="AH163" s="34">
        <v>7</v>
      </c>
      <c r="AI163" s="34">
        <v>7</v>
      </c>
      <c r="AJ163" s="28"/>
      <c r="AK163" s="28"/>
      <c r="AL163" s="28"/>
      <c r="AM163" s="28"/>
      <c r="AN163" s="28"/>
      <c r="AO163" s="28"/>
      <c r="AP163" s="28"/>
      <c r="AQ163" s="28"/>
      <c r="AR163" s="34">
        <v>7</v>
      </c>
      <c r="AS163" s="34">
        <v>7</v>
      </c>
      <c r="AT163" s="32">
        <v>7</v>
      </c>
      <c r="AU163" s="28"/>
      <c r="AV163" s="28"/>
      <c r="AW163" s="28"/>
      <c r="AX163" s="28"/>
      <c r="AY163" s="28"/>
      <c r="AZ163" s="28"/>
      <c r="BA163" s="28"/>
      <c r="BB163" s="28">
        <f t="shared" si="5"/>
        <v>35</v>
      </c>
      <c r="BC163" s="28"/>
    </row>
    <row r="164" spans="1:55">
      <c r="A164" s="28">
        <v>162</v>
      </c>
      <c r="B164" s="29">
        <v>500106</v>
      </c>
      <c r="C164" s="28" t="s">
        <v>84</v>
      </c>
      <c r="D164" s="28"/>
      <c r="E164" s="28">
        <v>20150701</v>
      </c>
      <c r="F164" s="28"/>
      <c r="G164" s="29" t="s">
        <v>51</v>
      </c>
      <c r="H164" s="30" t="s">
        <v>78</v>
      </c>
      <c r="I164" s="28" t="s">
        <v>79</v>
      </c>
      <c r="J164" s="28" t="s">
        <v>54</v>
      </c>
      <c r="K164" s="28"/>
      <c r="L164" s="28"/>
      <c r="M164" s="28">
        <v>98</v>
      </c>
      <c r="N164" s="28"/>
      <c r="O164" s="28">
        <v>7</v>
      </c>
      <c r="P164" s="28"/>
      <c r="Q164" s="28"/>
      <c r="R164" s="28"/>
      <c r="S164" s="28"/>
      <c r="T164" s="28"/>
      <c r="U164" s="28"/>
      <c r="V164" s="28"/>
      <c r="W164" s="28"/>
      <c r="X164" s="28"/>
      <c r="Y164" s="28" t="b">
        <f t="shared" si="4"/>
        <v>1</v>
      </c>
      <c r="Z164" s="34">
        <v>7</v>
      </c>
      <c r="AA164" s="34">
        <v>7</v>
      </c>
      <c r="AB164" s="34">
        <v>7</v>
      </c>
      <c r="AC164" s="34">
        <v>7</v>
      </c>
      <c r="AD164" s="34">
        <v>7</v>
      </c>
      <c r="AE164" s="34">
        <v>7</v>
      </c>
      <c r="AF164" s="34">
        <v>7</v>
      </c>
      <c r="AG164" s="34">
        <v>7</v>
      </c>
      <c r="AH164" s="34">
        <v>7</v>
      </c>
      <c r="AI164" s="34">
        <v>7</v>
      </c>
      <c r="AJ164" s="34">
        <v>7</v>
      </c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33">
        <v>7</v>
      </c>
      <c r="AV164" s="34">
        <v>7</v>
      </c>
      <c r="AW164" s="34">
        <v>7</v>
      </c>
      <c r="AX164" s="34">
        <v>7</v>
      </c>
      <c r="AY164" s="28"/>
      <c r="AZ164" s="28"/>
      <c r="BA164" s="28"/>
      <c r="BB164" s="28">
        <f t="shared" si="5"/>
        <v>105</v>
      </c>
      <c r="BC164" s="28"/>
    </row>
    <row r="165" spans="1:55">
      <c r="A165" s="28">
        <v>163</v>
      </c>
      <c r="B165" s="29">
        <v>500263</v>
      </c>
      <c r="C165" s="28" t="s">
        <v>105</v>
      </c>
      <c r="D165" s="28"/>
      <c r="E165" s="28">
        <v>20160114</v>
      </c>
      <c r="F165" s="28"/>
      <c r="G165" s="29" t="s">
        <v>51</v>
      </c>
      <c r="H165" s="30" t="s">
        <v>78</v>
      </c>
      <c r="I165" s="28" t="s">
        <v>79</v>
      </c>
      <c r="J165" s="28" t="s">
        <v>54</v>
      </c>
      <c r="K165" s="28"/>
      <c r="L165" s="28">
        <v>21</v>
      </c>
      <c r="M165" s="28">
        <v>14</v>
      </c>
      <c r="N165" s="28"/>
      <c r="O165" s="28">
        <v>42</v>
      </c>
      <c r="P165" s="28"/>
      <c r="Q165" s="28"/>
      <c r="R165" s="28"/>
      <c r="S165" s="28"/>
      <c r="T165" s="28"/>
      <c r="U165" s="28"/>
      <c r="V165" s="28"/>
      <c r="W165" s="28"/>
      <c r="X165" s="28"/>
      <c r="Y165" s="28" t="b">
        <f t="shared" si="4"/>
        <v>1</v>
      </c>
      <c r="Z165" s="33">
        <v>7</v>
      </c>
      <c r="AA165" s="28"/>
      <c r="AB165" s="28"/>
      <c r="AC165" s="33">
        <v>7</v>
      </c>
      <c r="AD165" s="28"/>
      <c r="AE165" s="33">
        <v>7</v>
      </c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34">
        <v>7</v>
      </c>
      <c r="AR165" s="34">
        <v>7</v>
      </c>
      <c r="AS165" s="28"/>
      <c r="AT165" s="28"/>
      <c r="AU165" s="33">
        <v>7</v>
      </c>
      <c r="AV165" s="33">
        <v>7</v>
      </c>
      <c r="AW165" s="28"/>
      <c r="AX165" s="33">
        <v>7</v>
      </c>
      <c r="AY165" s="32">
        <v>7</v>
      </c>
      <c r="AZ165" s="32">
        <v>7</v>
      </c>
      <c r="BA165" s="32">
        <v>7</v>
      </c>
      <c r="BB165" s="28">
        <f t="shared" si="5"/>
        <v>77</v>
      </c>
      <c r="BC165" s="28"/>
    </row>
    <row r="166" spans="1:55">
      <c r="A166" s="28">
        <v>164</v>
      </c>
      <c r="B166" s="29">
        <v>500273</v>
      </c>
      <c r="C166" s="28" t="s">
        <v>106</v>
      </c>
      <c r="D166" s="28"/>
      <c r="E166" s="28">
        <v>20160210</v>
      </c>
      <c r="F166" s="28"/>
      <c r="G166" s="29" t="s">
        <v>51</v>
      </c>
      <c r="H166" s="30" t="s">
        <v>78</v>
      </c>
      <c r="I166" s="28" t="s">
        <v>79</v>
      </c>
      <c r="J166" s="28" t="s">
        <v>54</v>
      </c>
      <c r="K166" s="28"/>
      <c r="L166" s="28"/>
      <c r="M166" s="28"/>
      <c r="N166" s="28"/>
      <c r="O166" s="28">
        <v>7</v>
      </c>
      <c r="P166" s="28"/>
      <c r="Q166" s="28"/>
      <c r="R166" s="28"/>
      <c r="S166" s="28"/>
      <c r="T166" s="28"/>
      <c r="U166" s="28"/>
      <c r="V166" s="28"/>
      <c r="W166" s="28"/>
      <c r="X166" s="28"/>
      <c r="Y166" s="28" t="b">
        <f t="shared" si="4"/>
        <v>1</v>
      </c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33">
        <v>7</v>
      </c>
      <c r="BB166" s="28">
        <f t="shared" si="5"/>
        <v>7</v>
      </c>
      <c r="BC166" s="28"/>
    </row>
    <row r="167" spans="1:55">
      <c r="A167" s="28">
        <v>165</v>
      </c>
      <c r="B167" s="29">
        <v>500282</v>
      </c>
      <c r="C167" s="28" t="s">
        <v>108</v>
      </c>
      <c r="D167" s="28"/>
      <c r="E167" s="28">
        <v>20160321</v>
      </c>
      <c r="F167" s="28"/>
      <c r="G167" s="29" t="s">
        <v>51</v>
      </c>
      <c r="H167" s="30" t="s">
        <v>78</v>
      </c>
      <c r="I167" s="28" t="s">
        <v>79</v>
      </c>
      <c r="J167" s="28" t="s">
        <v>54</v>
      </c>
      <c r="K167" s="28"/>
      <c r="L167" s="28"/>
      <c r="M167" s="28"/>
      <c r="N167" s="28"/>
      <c r="O167" s="28">
        <v>21</v>
      </c>
      <c r="P167" s="28"/>
      <c r="Q167" s="28"/>
      <c r="R167" s="28"/>
      <c r="S167" s="28"/>
      <c r="T167" s="28"/>
      <c r="U167" s="28"/>
      <c r="V167" s="28"/>
      <c r="W167" s="28"/>
      <c r="X167" s="28"/>
      <c r="Y167" s="28" t="b">
        <f t="shared" si="4"/>
        <v>1</v>
      </c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33">
        <v>7</v>
      </c>
      <c r="AS167" s="33">
        <v>7</v>
      </c>
      <c r="AT167" s="28"/>
      <c r="AU167" s="28"/>
      <c r="AV167" s="28"/>
      <c r="AW167" s="28"/>
      <c r="AX167" s="28"/>
      <c r="AY167" s="28"/>
      <c r="AZ167" s="33">
        <v>7</v>
      </c>
      <c r="BA167" s="28"/>
      <c r="BB167" s="28">
        <f t="shared" si="5"/>
        <v>21</v>
      </c>
      <c r="BC167" s="28"/>
    </row>
    <row r="168" spans="1:55">
      <c r="A168" s="28">
        <v>166</v>
      </c>
      <c r="B168" s="29">
        <v>500297</v>
      </c>
      <c r="C168" s="28" t="s">
        <v>110</v>
      </c>
      <c r="D168" s="28"/>
      <c r="E168" s="28">
        <v>20160503</v>
      </c>
      <c r="F168" s="28"/>
      <c r="G168" s="29" t="s">
        <v>51</v>
      </c>
      <c r="H168" s="30" t="s">
        <v>78</v>
      </c>
      <c r="I168" s="28" t="s">
        <v>79</v>
      </c>
      <c r="J168" s="28" t="s">
        <v>54</v>
      </c>
      <c r="K168" s="28"/>
      <c r="L168" s="28"/>
      <c r="M168" s="28"/>
      <c r="N168" s="28"/>
      <c r="O168" s="28">
        <v>7</v>
      </c>
      <c r="P168" s="28"/>
      <c r="Q168" s="28"/>
      <c r="R168" s="28"/>
      <c r="S168" s="28"/>
      <c r="T168" s="28"/>
      <c r="U168" s="28"/>
      <c r="V168" s="28"/>
      <c r="W168" s="28"/>
      <c r="X168" s="28"/>
      <c r="Y168" s="28" t="b">
        <f t="shared" si="4"/>
        <v>1</v>
      </c>
      <c r="Z168" s="28"/>
      <c r="AA168" s="28"/>
      <c r="AB168" s="28"/>
      <c r="AC168" s="28"/>
      <c r="AD168" s="28"/>
      <c r="AE168" s="28"/>
      <c r="AF168" s="28"/>
      <c r="AG168" s="33">
        <v>7</v>
      </c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>
        <f t="shared" si="5"/>
        <v>7</v>
      </c>
      <c r="BC168" s="28"/>
    </row>
    <row r="169" spans="1:55">
      <c r="A169" s="28">
        <v>167</v>
      </c>
      <c r="B169" s="29">
        <v>500300</v>
      </c>
      <c r="C169" s="28" t="s">
        <v>112</v>
      </c>
      <c r="D169" s="28"/>
      <c r="E169" s="28">
        <v>20160503</v>
      </c>
      <c r="F169" s="28"/>
      <c r="G169" s="29" t="s">
        <v>51</v>
      </c>
      <c r="H169" s="30" t="s">
        <v>78</v>
      </c>
      <c r="I169" s="28" t="s">
        <v>79</v>
      </c>
      <c r="J169" s="28" t="s">
        <v>54</v>
      </c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 t="b">
        <f t="shared" si="4"/>
        <v>1</v>
      </c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>
        <f t="shared" si="5"/>
        <v>0</v>
      </c>
      <c r="BC169" s="28"/>
    </row>
    <row r="170" spans="1:55">
      <c r="A170" s="28">
        <v>168</v>
      </c>
      <c r="B170" s="29">
        <v>500423</v>
      </c>
      <c r="C170" s="28" t="s">
        <v>135</v>
      </c>
      <c r="D170" s="28"/>
      <c r="E170" s="28">
        <v>20161201</v>
      </c>
      <c r="F170" s="28"/>
      <c r="G170" s="29" t="s">
        <v>51</v>
      </c>
      <c r="H170" s="30" t="s">
        <v>78</v>
      </c>
      <c r="I170" s="28" t="s">
        <v>79</v>
      </c>
      <c r="J170" s="28" t="s">
        <v>58</v>
      </c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 t="b">
        <f t="shared" si="4"/>
        <v>1</v>
      </c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>
        <f t="shared" si="5"/>
        <v>0</v>
      </c>
      <c r="BC170" s="28"/>
    </row>
    <row r="171" spans="1:55">
      <c r="A171" s="28">
        <v>169</v>
      </c>
      <c r="B171" s="29">
        <v>500583</v>
      </c>
      <c r="C171" s="28" t="s">
        <v>154</v>
      </c>
      <c r="D171" s="28"/>
      <c r="E171" s="28">
        <v>20170803</v>
      </c>
      <c r="F171" s="28"/>
      <c r="G171" s="29" t="s">
        <v>51</v>
      </c>
      <c r="H171" s="30" t="s">
        <v>78</v>
      </c>
      <c r="I171" s="28" t="s">
        <v>79</v>
      </c>
      <c r="J171" s="28" t="s">
        <v>58</v>
      </c>
      <c r="K171" s="28"/>
      <c r="L171" s="28">
        <v>7</v>
      </c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 t="b">
        <f t="shared" si="4"/>
        <v>1</v>
      </c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32">
        <v>7</v>
      </c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>
        <f t="shared" si="5"/>
        <v>7</v>
      </c>
      <c r="BC171" s="28"/>
    </row>
    <row r="172" spans="1:55">
      <c r="A172" s="28">
        <v>170</v>
      </c>
      <c r="B172" s="29">
        <v>500678</v>
      </c>
      <c r="C172" s="28" t="s">
        <v>157</v>
      </c>
      <c r="D172" s="28"/>
      <c r="E172" s="28">
        <v>20180116</v>
      </c>
      <c r="F172" s="28"/>
      <c r="G172" s="29" t="s">
        <v>51</v>
      </c>
      <c r="H172" s="30" t="s">
        <v>78</v>
      </c>
      <c r="I172" s="28" t="s">
        <v>79</v>
      </c>
      <c r="J172" s="28" t="s">
        <v>58</v>
      </c>
      <c r="K172" s="28"/>
      <c r="L172" s="28"/>
      <c r="M172" s="28">
        <v>25.95</v>
      </c>
      <c r="N172" s="28"/>
      <c r="O172" s="28">
        <v>21</v>
      </c>
      <c r="P172" s="28"/>
      <c r="Q172" s="28"/>
      <c r="R172" s="28"/>
      <c r="S172" s="28"/>
      <c r="T172" s="28"/>
      <c r="U172" s="28"/>
      <c r="V172" s="28"/>
      <c r="W172" s="28"/>
      <c r="X172" s="28"/>
      <c r="Y172" s="28" t="b">
        <f t="shared" si="4"/>
        <v>1</v>
      </c>
      <c r="Z172" s="33">
        <v>7</v>
      </c>
      <c r="AA172" s="28"/>
      <c r="AB172" s="28"/>
      <c r="AC172" s="28"/>
      <c r="AD172" s="28"/>
      <c r="AE172" s="28"/>
      <c r="AF172" s="28"/>
      <c r="AG172" s="34">
        <v>4.95</v>
      </c>
      <c r="AH172" s="34">
        <v>7</v>
      </c>
      <c r="AI172" s="33">
        <v>7</v>
      </c>
      <c r="AJ172" s="28"/>
      <c r="AK172" s="28"/>
      <c r="AL172" s="28"/>
      <c r="AM172" s="28"/>
      <c r="AN172" s="33">
        <v>7</v>
      </c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34">
        <v>7</v>
      </c>
      <c r="BA172" s="34">
        <v>7</v>
      </c>
      <c r="BB172" s="28">
        <f t="shared" si="5"/>
        <v>46.95</v>
      </c>
      <c r="BC172" s="28"/>
    </row>
    <row r="173" spans="1:55">
      <c r="A173" s="28">
        <v>171</v>
      </c>
      <c r="B173" s="29">
        <v>501220</v>
      </c>
      <c r="C173" s="28" t="s">
        <v>216</v>
      </c>
      <c r="D173" s="28"/>
      <c r="E173" s="28">
        <v>20240604</v>
      </c>
      <c r="F173" s="28"/>
      <c r="G173" s="29" t="s">
        <v>51</v>
      </c>
      <c r="H173" s="30" t="s">
        <v>78</v>
      </c>
      <c r="I173" s="28" t="s">
        <v>79</v>
      </c>
      <c r="J173" s="28" t="s">
        <v>58</v>
      </c>
      <c r="K173" s="28">
        <v>7</v>
      </c>
      <c r="L173" s="28">
        <v>7</v>
      </c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 t="b">
        <f t="shared" si="4"/>
        <v>1</v>
      </c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31">
        <v>7</v>
      </c>
      <c r="AO173" s="28"/>
      <c r="AP173" s="28"/>
      <c r="AQ173" s="28"/>
      <c r="AR173" s="28"/>
      <c r="AS173" s="28"/>
      <c r="AT173" s="28"/>
      <c r="AU173" s="28"/>
      <c r="AV173" s="32">
        <v>7</v>
      </c>
      <c r="AW173" s="28"/>
      <c r="AX173" s="28"/>
      <c r="AY173" s="28"/>
      <c r="AZ173" s="28"/>
      <c r="BA173" s="28"/>
      <c r="BB173" s="28">
        <f t="shared" si="5"/>
        <v>14</v>
      </c>
      <c r="BC173" s="28"/>
    </row>
    <row r="174" spans="1:55">
      <c r="A174" s="28">
        <v>172</v>
      </c>
      <c r="B174" s="29">
        <v>501234</v>
      </c>
      <c r="C174" s="28" t="s">
        <v>221</v>
      </c>
      <c r="D174" s="28"/>
      <c r="E174" s="28">
        <v>20240716</v>
      </c>
      <c r="F174" s="28"/>
      <c r="G174" s="29" t="s">
        <v>51</v>
      </c>
      <c r="H174" s="30" t="s">
        <v>78</v>
      </c>
      <c r="I174" s="28" t="s">
        <v>79</v>
      </c>
      <c r="J174" s="28" t="s">
        <v>58</v>
      </c>
      <c r="K174" s="28">
        <v>7</v>
      </c>
      <c r="L174" s="28"/>
      <c r="M174" s="28">
        <v>14</v>
      </c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>
        <v>7</v>
      </c>
      <c r="Y174" s="28" t="b">
        <f t="shared" si="4"/>
        <v>1</v>
      </c>
      <c r="Z174" s="28"/>
      <c r="AA174" s="28"/>
      <c r="AB174" s="28"/>
      <c r="AC174" s="28"/>
      <c r="AD174" s="28"/>
      <c r="AE174" s="28"/>
      <c r="AF174" s="31">
        <v>7</v>
      </c>
      <c r="AG174" s="28"/>
      <c r="AH174" s="28"/>
      <c r="AI174" s="28"/>
      <c r="AJ174" s="28"/>
      <c r="AK174" s="28"/>
      <c r="AL174" s="28"/>
      <c r="AM174" s="34">
        <v>7</v>
      </c>
      <c r="AN174" s="34">
        <v>7</v>
      </c>
      <c r="AO174" s="28"/>
      <c r="AP174" s="28"/>
      <c r="AQ174" s="28"/>
      <c r="AR174" s="28"/>
      <c r="AS174" s="28"/>
      <c r="AT174" s="28"/>
      <c r="AU174" s="28"/>
      <c r="AV174" s="28"/>
      <c r="AW174" s="28"/>
      <c r="AX174" s="39">
        <v>7</v>
      </c>
      <c r="AY174" s="28"/>
      <c r="AZ174" s="28"/>
      <c r="BA174" s="28"/>
      <c r="BB174" s="28">
        <f t="shared" si="5"/>
        <v>28</v>
      </c>
      <c r="BC174" s="28"/>
    </row>
    <row r="175" spans="1:55">
      <c r="A175" s="28">
        <v>173</v>
      </c>
      <c r="B175" s="29">
        <v>501241</v>
      </c>
      <c r="C175" s="28" t="s">
        <v>226</v>
      </c>
      <c r="D175" s="28"/>
      <c r="E175" s="28">
        <v>20240829</v>
      </c>
      <c r="F175" s="28"/>
      <c r="G175" s="29" t="s">
        <v>51</v>
      </c>
      <c r="H175" s="30" t="s">
        <v>78</v>
      </c>
      <c r="I175" s="28" t="s">
        <v>79</v>
      </c>
      <c r="J175" s="28" t="s">
        <v>54</v>
      </c>
      <c r="K175" s="28">
        <v>7</v>
      </c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 t="b">
        <f t="shared" si="4"/>
        <v>1</v>
      </c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31">
        <v>7</v>
      </c>
      <c r="AT175" s="28"/>
      <c r="AU175" s="28"/>
      <c r="AV175" s="28"/>
      <c r="AW175" s="28"/>
      <c r="AX175" s="28"/>
      <c r="AY175" s="28"/>
      <c r="AZ175" s="28"/>
      <c r="BA175" s="28"/>
      <c r="BB175" s="28">
        <f t="shared" si="5"/>
        <v>7</v>
      </c>
      <c r="BC175" s="28"/>
    </row>
    <row r="176" spans="1:55">
      <c r="A176" s="28">
        <v>174</v>
      </c>
      <c r="B176" s="29">
        <v>501244</v>
      </c>
      <c r="C176" s="28" t="s">
        <v>227</v>
      </c>
      <c r="D176" s="28"/>
      <c r="E176" s="28">
        <v>20240909</v>
      </c>
      <c r="F176" s="28"/>
      <c r="G176" s="29" t="s">
        <v>51</v>
      </c>
      <c r="H176" s="30" t="s">
        <v>78</v>
      </c>
      <c r="I176" s="28" t="s">
        <v>79</v>
      </c>
      <c r="J176" s="28" t="s">
        <v>54</v>
      </c>
      <c r="K176" s="28">
        <v>7</v>
      </c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 t="b">
        <f t="shared" si="4"/>
        <v>1</v>
      </c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31">
        <v>7</v>
      </c>
      <c r="AX176" s="28"/>
      <c r="AY176" s="28"/>
      <c r="AZ176" s="28"/>
      <c r="BA176" s="28"/>
      <c r="BB176" s="28">
        <f t="shared" si="5"/>
        <v>7</v>
      </c>
      <c r="BC176" s="28"/>
    </row>
    <row r="177" spans="1:55">
      <c r="A177" s="28">
        <v>175</v>
      </c>
      <c r="B177" s="29">
        <v>501249</v>
      </c>
      <c r="C177" s="28" t="s">
        <v>231</v>
      </c>
      <c r="D177" s="28"/>
      <c r="E177" s="28">
        <v>20241010</v>
      </c>
      <c r="F177" s="28"/>
      <c r="G177" s="29" t="s">
        <v>51</v>
      </c>
      <c r="H177" s="30" t="s">
        <v>78</v>
      </c>
      <c r="I177" s="28" t="s">
        <v>79</v>
      </c>
      <c r="J177" s="28" t="s">
        <v>58</v>
      </c>
      <c r="K177" s="28">
        <v>7</v>
      </c>
      <c r="L177" s="28">
        <v>21</v>
      </c>
      <c r="M177" s="28">
        <v>14</v>
      </c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 t="b">
        <f t="shared" si="4"/>
        <v>1</v>
      </c>
      <c r="Z177" s="28"/>
      <c r="AA177" s="28"/>
      <c r="AB177" s="28"/>
      <c r="AC177" s="28"/>
      <c r="AD177" s="28"/>
      <c r="AE177" s="34">
        <v>7</v>
      </c>
      <c r="AF177" s="34">
        <v>7</v>
      </c>
      <c r="AG177" s="28"/>
      <c r="AH177" s="28"/>
      <c r="AI177" s="28"/>
      <c r="AJ177" s="28"/>
      <c r="AK177" s="28"/>
      <c r="AL177" s="28"/>
      <c r="AM177" s="31">
        <v>7</v>
      </c>
      <c r="AN177" s="28"/>
      <c r="AO177" s="28"/>
      <c r="AP177" s="28"/>
      <c r="AQ177" s="32">
        <v>7</v>
      </c>
      <c r="AR177" s="28"/>
      <c r="AS177" s="28"/>
      <c r="AT177" s="28"/>
      <c r="AU177" s="28"/>
      <c r="AV177" s="28"/>
      <c r="AW177" s="28"/>
      <c r="AX177" s="28"/>
      <c r="AY177" s="28"/>
      <c r="AZ177" s="32">
        <v>7</v>
      </c>
      <c r="BA177" s="32">
        <v>7</v>
      </c>
      <c r="BB177" s="28">
        <f t="shared" si="5"/>
        <v>42</v>
      </c>
      <c r="BC177" s="28"/>
    </row>
    <row r="178" spans="1:55">
      <c r="A178" s="28">
        <v>176</v>
      </c>
      <c r="B178" s="29">
        <v>501268</v>
      </c>
      <c r="C178" s="28" t="s">
        <v>243</v>
      </c>
      <c r="D178" s="28"/>
      <c r="E178" s="28">
        <v>20250310</v>
      </c>
      <c r="F178" s="28"/>
      <c r="G178" s="29" t="s">
        <v>51</v>
      </c>
      <c r="H178" s="30" t="s">
        <v>78</v>
      </c>
      <c r="I178" s="28" t="s">
        <v>79</v>
      </c>
      <c r="J178" s="28" t="s">
        <v>58</v>
      </c>
      <c r="K178" s="28">
        <v>7</v>
      </c>
      <c r="L178" s="28">
        <v>10.5</v>
      </c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 t="b">
        <f t="shared" si="4"/>
        <v>1</v>
      </c>
      <c r="Z178" s="28"/>
      <c r="AA178" s="32">
        <v>3.5</v>
      </c>
      <c r="AB178" s="28"/>
      <c r="AC178" s="28"/>
      <c r="AD178" s="28"/>
      <c r="AE178" s="28"/>
      <c r="AF178" s="31">
        <v>7</v>
      </c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32">
        <v>7</v>
      </c>
      <c r="AU178" s="28"/>
      <c r="AV178" s="28"/>
      <c r="AW178" s="28"/>
      <c r="AX178" s="28"/>
      <c r="AY178" s="28"/>
      <c r="AZ178" s="28"/>
      <c r="BA178" s="28"/>
      <c r="BB178" s="28">
        <f t="shared" si="5"/>
        <v>17.5</v>
      </c>
      <c r="BC178" s="28"/>
    </row>
    <row r="179" spans="1:55">
      <c r="A179" s="28">
        <v>177</v>
      </c>
      <c r="B179" s="29">
        <v>501276</v>
      </c>
      <c r="C179" s="28" t="s">
        <v>249</v>
      </c>
      <c r="D179" s="28"/>
      <c r="E179" s="28">
        <v>20250502</v>
      </c>
      <c r="F179" s="28"/>
      <c r="G179" s="29" t="s">
        <v>51</v>
      </c>
      <c r="H179" s="30" t="s">
        <v>78</v>
      </c>
      <c r="I179" s="28" t="s">
        <v>79</v>
      </c>
      <c r="J179" s="28" t="s">
        <v>58</v>
      </c>
      <c r="K179" s="28"/>
      <c r="L179" s="28"/>
      <c r="M179" s="28">
        <v>21</v>
      </c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 t="b">
        <f t="shared" si="4"/>
        <v>1</v>
      </c>
      <c r="Z179" s="28"/>
      <c r="AA179" s="28"/>
      <c r="AB179" s="28"/>
      <c r="AC179" s="28"/>
      <c r="AD179" s="28"/>
      <c r="AE179" s="28"/>
      <c r="AF179" s="28"/>
      <c r="AG179" s="34">
        <v>7</v>
      </c>
      <c r="AH179" s="34">
        <v>7</v>
      </c>
      <c r="AI179" s="34">
        <v>7</v>
      </c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>
        <f t="shared" si="5"/>
        <v>21</v>
      </c>
      <c r="BC179" s="28"/>
    </row>
    <row r="180" spans="1:55">
      <c r="A180" s="28">
        <v>178</v>
      </c>
      <c r="B180" s="29">
        <v>501281</v>
      </c>
      <c r="C180" s="28" t="s">
        <v>253</v>
      </c>
      <c r="D180" s="28"/>
      <c r="E180" s="28">
        <v>20250508</v>
      </c>
      <c r="F180" s="28"/>
      <c r="G180" s="29" t="s">
        <v>51</v>
      </c>
      <c r="H180" s="30" t="s">
        <v>78</v>
      </c>
      <c r="I180" s="28" t="s">
        <v>79</v>
      </c>
      <c r="J180" s="28" t="s">
        <v>58</v>
      </c>
      <c r="K180" s="28"/>
      <c r="L180" s="28"/>
      <c r="M180" s="28">
        <v>20</v>
      </c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 t="b">
        <f t="shared" si="4"/>
        <v>1</v>
      </c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34">
        <v>8</v>
      </c>
      <c r="AZ180" s="34">
        <v>8</v>
      </c>
      <c r="BA180" s="34">
        <v>4</v>
      </c>
      <c r="BB180" s="28">
        <f t="shared" si="5"/>
        <v>20</v>
      </c>
      <c r="BC180" s="28"/>
    </row>
    <row r="181" spans="1:55">
      <c r="A181" s="28">
        <v>179</v>
      </c>
      <c r="B181" s="29">
        <v>501303</v>
      </c>
      <c r="C181" s="28" t="s">
        <v>265</v>
      </c>
      <c r="D181" s="28"/>
      <c r="E181" s="28">
        <v>20251028</v>
      </c>
      <c r="F181" s="28"/>
      <c r="G181" s="29" t="s">
        <v>51</v>
      </c>
      <c r="H181" s="30" t="s">
        <v>78</v>
      </c>
      <c r="I181" s="28" t="s">
        <v>79</v>
      </c>
      <c r="J181" s="28" t="s">
        <v>58</v>
      </c>
      <c r="K181" s="28">
        <v>7</v>
      </c>
      <c r="L181" s="28">
        <v>28</v>
      </c>
      <c r="M181" s="28">
        <v>14</v>
      </c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 t="b">
        <f t="shared" si="4"/>
        <v>1</v>
      </c>
      <c r="Z181" s="32">
        <v>7</v>
      </c>
      <c r="AA181" s="32">
        <v>7</v>
      </c>
      <c r="AB181" s="32">
        <v>7</v>
      </c>
      <c r="AC181" s="28"/>
      <c r="AD181" s="28"/>
      <c r="AE181" s="28"/>
      <c r="AF181" s="31">
        <v>7</v>
      </c>
      <c r="AG181" s="28"/>
      <c r="AH181" s="28"/>
      <c r="AI181" s="28"/>
      <c r="AJ181" s="32">
        <v>7</v>
      </c>
      <c r="AK181" s="28"/>
      <c r="AL181" s="28"/>
      <c r="AM181" s="28"/>
      <c r="AN181" s="28"/>
      <c r="AO181" s="28"/>
      <c r="AP181" s="28"/>
      <c r="AQ181" s="28"/>
      <c r="AR181" s="28"/>
      <c r="AS181" s="28"/>
      <c r="AT181" s="34">
        <v>7</v>
      </c>
      <c r="AU181" s="34">
        <v>7</v>
      </c>
      <c r="AV181" s="28"/>
      <c r="AW181" s="28"/>
      <c r="AX181" s="28"/>
      <c r="AY181" s="28"/>
      <c r="AZ181" s="28"/>
      <c r="BA181" s="28"/>
      <c r="BB181" s="28">
        <f t="shared" si="5"/>
        <v>49</v>
      </c>
      <c r="BC181" s="28"/>
    </row>
    <row r="182" spans="1:55">
      <c r="A182" s="28">
        <v>180</v>
      </c>
      <c r="B182" s="29">
        <v>501314</v>
      </c>
      <c r="C182" s="28" t="s">
        <v>275</v>
      </c>
      <c r="D182" s="28"/>
      <c r="E182" s="28">
        <v>20260105</v>
      </c>
      <c r="F182" s="28"/>
      <c r="G182" s="29" t="s">
        <v>51</v>
      </c>
      <c r="H182" s="30" t="s">
        <v>78</v>
      </c>
      <c r="I182" s="28" t="s">
        <v>79</v>
      </c>
      <c r="J182" s="28" t="s">
        <v>58</v>
      </c>
      <c r="K182" s="28"/>
      <c r="L182" s="28">
        <v>7</v>
      </c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>
        <v>7</v>
      </c>
      <c r="Y182" s="28" t="b">
        <f t="shared" si="4"/>
        <v>1</v>
      </c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32">
        <v>7</v>
      </c>
      <c r="AO182" s="28"/>
      <c r="AP182" s="28"/>
      <c r="AQ182" s="28"/>
      <c r="AR182" s="28"/>
      <c r="AS182" s="28"/>
      <c r="AT182" s="28"/>
      <c r="AU182" s="28"/>
      <c r="AV182" s="28"/>
      <c r="AW182" s="39">
        <v>7</v>
      </c>
      <c r="AX182" s="28"/>
      <c r="AY182" s="28"/>
      <c r="AZ182" s="28"/>
      <c r="BA182" s="28"/>
      <c r="BB182" s="28">
        <f t="shared" si="5"/>
        <v>14</v>
      </c>
      <c r="BC182" s="28"/>
    </row>
    <row r="183" spans="1:55">
      <c r="A183" s="28">
        <v>181</v>
      </c>
      <c r="B183" s="29">
        <v>500383</v>
      </c>
      <c r="C183" s="28" t="s">
        <v>127</v>
      </c>
      <c r="D183" s="28"/>
      <c r="E183" s="28">
        <v>20161003</v>
      </c>
      <c r="F183" s="28"/>
      <c r="G183" s="29" t="s">
        <v>51</v>
      </c>
      <c r="H183" s="30" t="s">
        <v>128</v>
      </c>
      <c r="I183" s="28" t="s">
        <v>129</v>
      </c>
      <c r="J183" s="28" t="s">
        <v>58</v>
      </c>
      <c r="K183" s="28">
        <v>8</v>
      </c>
      <c r="L183" s="28">
        <v>0.66999999999999993</v>
      </c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 t="b">
        <f t="shared" si="4"/>
        <v>1</v>
      </c>
      <c r="Z183" s="28"/>
      <c r="AA183" s="32">
        <v>0.41</v>
      </c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31">
        <v>8</v>
      </c>
      <c r="AW183" s="28"/>
      <c r="AX183" s="28"/>
      <c r="AY183" s="28"/>
      <c r="AZ183" s="32">
        <v>0.26</v>
      </c>
      <c r="BA183" s="28"/>
      <c r="BB183" s="28">
        <f t="shared" si="5"/>
        <v>8.67</v>
      </c>
      <c r="BC183" s="28"/>
    </row>
    <row r="184" spans="1:55">
      <c r="A184" s="28">
        <v>182</v>
      </c>
      <c r="B184" s="29">
        <v>500429</v>
      </c>
      <c r="C184" s="28" t="s">
        <v>136</v>
      </c>
      <c r="D184" s="28"/>
      <c r="E184" s="28">
        <v>20161208</v>
      </c>
      <c r="F184" s="28"/>
      <c r="G184" s="29" t="s">
        <v>51</v>
      </c>
      <c r="H184" s="30" t="s">
        <v>128</v>
      </c>
      <c r="I184" s="28" t="s">
        <v>129</v>
      </c>
      <c r="J184" s="28" t="s">
        <v>58</v>
      </c>
      <c r="K184" s="28"/>
      <c r="L184" s="28"/>
      <c r="M184" s="28"/>
      <c r="N184" s="28"/>
      <c r="O184" s="28">
        <v>7</v>
      </c>
      <c r="P184" s="28"/>
      <c r="Q184" s="28"/>
      <c r="R184" s="28"/>
      <c r="S184" s="28"/>
      <c r="T184" s="28"/>
      <c r="U184" s="28"/>
      <c r="V184" s="28"/>
      <c r="W184" s="28"/>
      <c r="X184" s="28"/>
      <c r="Y184" s="28" t="b">
        <f t="shared" si="4"/>
        <v>1</v>
      </c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33">
        <v>7</v>
      </c>
      <c r="AT184" s="28"/>
      <c r="AU184" s="28"/>
      <c r="AV184" s="28"/>
      <c r="AW184" s="28"/>
      <c r="AX184" s="28"/>
      <c r="AY184" s="28"/>
      <c r="AZ184" s="28"/>
      <c r="BA184" s="28"/>
      <c r="BB184" s="28">
        <f t="shared" si="5"/>
        <v>7</v>
      </c>
      <c r="BC184" s="28"/>
    </row>
    <row r="185" spans="1:55">
      <c r="A185" s="28">
        <v>183</v>
      </c>
      <c r="B185" s="29">
        <v>500502</v>
      </c>
      <c r="C185" s="28" t="s">
        <v>142</v>
      </c>
      <c r="D185" s="28"/>
      <c r="E185" s="28">
        <v>20170314</v>
      </c>
      <c r="F185" s="28"/>
      <c r="G185" s="29" t="s">
        <v>51</v>
      </c>
      <c r="H185" s="30" t="s">
        <v>128</v>
      </c>
      <c r="I185" s="28" t="s">
        <v>129</v>
      </c>
      <c r="J185" s="28" t="s">
        <v>58</v>
      </c>
      <c r="K185" s="28"/>
      <c r="L185" s="28"/>
      <c r="M185" s="28"/>
      <c r="N185" s="28"/>
      <c r="O185" s="28">
        <v>35</v>
      </c>
      <c r="P185" s="28"/>
      <c r="Q185" s="28"/>
      <c r="R185" s="28"/>
      <c r="S185" s="28"/>
      <c r="T185" s="28"/>
      <c r="U185" s="28"/>
      <c r="V185" s="28"/>
      <c r="W185" s="28"/>
      <c r="X185" s="28"/>
      <c r="Y185" s="28" t="b">
        <f t="shared" si="4"/>
        <v>1</v>
      </c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33">
        <v>7</v>
      </c>
      <c r="AR185" s="33">
        <v>7</v>
      </c>
      <c r="AS185" s="33">
        <v>7</v>
      </c>
      <c r="AT185" s="33">
        <v>7</v>
      </c>
      <c r="AU185" s="33">
        <v>7</v>
      </c>
      <c r="AV185" s="28"/>
      <c r="AW185" s="28"/>
      <c r="AX185" s="28"/>
      <c r="AY185" s="28"/>
      <c r="AZ185" s="28"/>
      <c r="BA185" s="28"/>
      <c r="BB185" s="28">
        <f t="shared" si="5"/>
        <v>35</v>
      </c>
      <c r="BC185" s="28"/>
    </row>
    <row r="186" spans="1:55">
      <c r="A186" s="28">
        <v>184</v>
      </c>
      <c r="B186" s="29">
        <v>500504</v>
      </c>
      <c r="C186" s="28" t="s">
        <v>143</v>
      </c>
      <c r="D186" s="28"/>
      <c r="E186" s="28">
        <v>20170314</v>
      </c>
      <c r="F186" s="28"/>
      <c r="G186" s="29" t="s">
        <v>51</v>
      </c>
      <c r="H186" s="30" t="s">
        <v>128</v>
      </c>
      <c r="I186" s="28" t="s">
        <v>129</v>
      </c>
      <c r="J186" s="28" t="s">
        <v>58</v>
      </c>
      <c r="K186" s="28">
        <v>8</v>
      </c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 t="b">
        <f t="shared" si="4"/>
        <v>1</v>
      </c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31">
        <v>8</v>
      </c>
      <c r="AZ186" s="28"/>
      <c r="BA186" s="28"/>
      <c r="BB186" s="28">
        <f t="shared" si="5"/>
        <v>8</v>
      </c>
      <c r="BC186" s="28"/>
    </row>
    <row r="187" spans="1:55">
      <c r="A187" s="28">
        <v>185</v>
      </c>
      <c r="B187" s="29">
        <v>500534</v>
      </c>
      <c r="C187" s="28" t="s">
        <v>150</v>
      </c>
      <c r="D187" s="28"/>
      <c r="E187" s="28">
        <v>20170511</v>
      </c>
      <c r="F187" s="28"/>
      <c r="G187" s="29" t="s">
        <v>51</v>
      </c>
      <c r="H187" s="30" t="s">
        <v>128</v>
      </c>
      <c r="I187" s="28" t="s">
        <v>129</v>
      </c>
      <c r="J187" s="28" t="s">
        <v>58</v>
      </c>
      <c r="K187" s="28">
        <v>7</v>
      </c>
      <c r="L187" s="28"/>
      <c r="M187" s="28"/>
      <c r="N187" s="28"/>
      <c r="O187" s="28"/>
      <c r="P187" s="28"/>
      <c r="Q187" s="28"/>
      <c r="R187" s="28">
        <v>77</v>
      </c>
      <c r="S187" s="28"/>
      <c r="T187" s="28"/>
      <c r="U187" s="28"/>
      <c r="V187" s="28"/>
      <c r="W187" s="28"/>
      <c r="X187" s="28"/>
      <c r="Y187" s="28" t="b">
        <f t="shared" si="4"/>
        <v>1</v>
      </c>
      <c r="Z187" s="37">
        <v>7</v>
      </c>
      <c r="AA187" s="37">
        <v>7</v>
      </c>
      <c r="AB187" s="37">
        <v>7</v>
      </c>
      <c r="AC187" s="37">
        <v>7</v>
      </c>
      <c r="AD187" s="37">
        <v>7</v>
      </c>
      <c r="AE187" s="37">
        <v>7</v>
      </c>
      <c r="AF187" s="37">
        <v>7</v>
      </c>
      <c r="AG187" s="37">
        <v>7</v>
      </c>
      <c r="AH187" s="37">
        <v>7</v>
      </c>
      <c r="AI187" s="37">
        <v>7</v>
      </c>
      <c r="AJ187" s="37">
        <v>7</v>
      </c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31">
        <v>7</v>
      </c>
      <c r="AZ187" s="28"/>
      <c r="BA187" s="28"/>
      <c r="BB187" s="28">
        <f t="shared" si="5"/>
        <v>84</v>
      </c>
      <c r="BC187" s="28"/>
    </row>
    <row r="188" spans="1:55">
      <c r="A188" s="28">
        <v>186</v>
      </c>
      <c r="B188" s="29">
        <v>500590</v>
      </c>
      <c r="C188" s="28" t="s">
        <v>155</v>
      </c>
      <c r="D188" s="28"/>
      <c r="E188" s="28">
        <v>20170803</v>
      </c>
      <c r="F188" s="28"/>
      <c r="G188" s="29" t="s">
        <v>51</v>
      </c>
      <c r="H188" s="30" t="s">
        <v>128</v>
      </c>
      <c r="I188" s="28" t="s">
        <v>129</v>
      </c>
      <c r="J188" s="28" t="s">
        <v>58</v>
      </c>
      <c r="K188" s="28">
        <v>14</v>
      </c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 t="b">
        <f t="shared" si="4"/>
        <v>1</v>
      </c>
      <c r="Z188" s="28"/>
      <c r="AA188" s="28"/>
      <c r="AB188" s="28"/>
      <c r="AC188" s="31">
        <v>7</v>
      </c>
      <c r="AD188" s="31">
        <v>7</v>
      </c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>
        <f t="shared" si="5"/>
        <v>14</v>
      </c>
      <c r="BC188" s="28"/>
    </row>
    <row r="189" spans="1:55">
      <c r="A189" s="28">
        <v>187</v>
      </c>
      <c r="B189" s="29">
        <v>500772</v>
      </c>
      <c r="C189" s="28" t="s">
        <v>166</v>
      </c>
      <c r="D189" s="28"/>
      <c r="E189" s="28">
        <v>20180710</v>
      </c>
      <c r="F189" s="28"/>
      <c r="G189" s="29" t="s">
        <v>51</v>
      </c>
      <c r="H189" s="30" t="s">
        <v>128</v>
      </c>
      <c r="I189" s="28" t="s">
        <v>129</v>
      </c>
      <c r="J189" s="28" t="s">
        <v>58</v>
      </c>
      <c r="K189" s="28"/>
      <c r="L189" s="28"/>
      <c r="M189" s="28">
        <v>63</v>
      </c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 t="b">
        <f t="shared" si="4"/>
        <v>1</v>
      </c>
      <c r="Z189" s="28"/>
      <c r="AA189" s="34">
        <v>7</v>
      </c>
      <c r="AB189" s="34">
        <v>7</v>
      </c>
      <c r="AC189" s="28"/>
      <c r="AD189" s="28"/>
      <c r="AE189" s="34">
        <v>7</v>
      </c>
      <c r="AF189" s="28"/>
      <c r="AG189" s="28"/>
      <c r="AH189" s="28"/>
      <c r="AI189" s="34">
        <v>7</v>
      </c>
      <c r="AJ189" s="34">
        <v>7</v>
      </c>
      <c r="AK189" s="28"/>
      <c r="AL189" s="28"/>
      <c r="AM189" s="28"/>
      <c r="AN189" s="28"/>
      <c r="AO189" s="28"/>
      <c r="AP189" s="28"/>
      <c r="AQ189" s="28"/>
      <c r="AR189" s="34">
        <v>7</v>
      </c>
      <c r="AS189" s="28"/>
      <c r="AT189" s="28"/>
      <c r="AU189" s="28"/>
      <c r="AV189" s="28"/>
      <c r="AW189" s="28"/>
      <c r="AX189" s="34">
        <v>7</v>
      </c>
      <c r="AY189" s="34">
        <v>7</v>
      </c>
      <c r="AZ189" s="34">
        <v>7</v>
      </c>
      <c r="BA189" s="28"/>
      <c r="BB189" s="28">
        <f t="shared" si="5"/>
        <v>63</v>
      </c>
      <c r="BC189" s="28"/>
    </row>
    <row r="190" spans="1:55">
      <c r="A190" s="28">
        <v>188</v>
      </c>
      <c r="B190" s="29">
        <v>500825</v>
      </c>
      <c r="C190" s="28" t="s">
        <v>173</v>
      </c>
      <c r="D190" s="28"/>
      <c r="E190" s="28">
        <v>20181211</v>
      </c>
      <c r="F190" s="28"/>
      <c r="G190" s="29" t="s">
        <v>51</v>
      </c>
      <c r="H190" s="30" t="s">
        <v>128</v>
      </c>
      <c r="I190" s="28" t="s">
        <v>129</v>
      </c>
      <c r="J190" s="28" t="s">
        <v>58</v>
      </c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 t="b">
        <f t="shared" si="4"/>
        <v>1</v>
      </c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>
        <f t="shared" si="5"/>
        <v>0</v>
      </c>
      <c r="BC190" s="28"/>
    </row>
    <row r="191" spans="1:55">
      <c r="A191" s="28">
        <v>189</v>
      </c>
      <c r="B191" s="29">
        <v>501274</v>
      </c>
      <c r="C191" s="28" t="s">
        <v>247</v>
      </c>
      <c r="D191" s="28"/>
      <c r="E191" s="28">
        <v>20250423</v>
      </c>
      <c r="F191" s="28"/>
      <c r="G191" s="29" t="s">
        <v>51</v>
      </c>
      <c r="H191" s="30" t="s">
        <v>128</v>
      </c>
      <c r="I191" s="28" t="s">
        <v>129</v>
      </c>
      <c r="J191" s="28" t="s">
        <v>58</v>
      </c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 t="b">
        <f t="shared" si="4"/>
        <v>1</v>
      </c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>
        <f t="shared" si="5"/>
        <v>0</v>
      </c>
      <c r="BC191" s="28"/>
    </row>
    <row r="192" spans="1:55">
      <c r="A192" s="28">
        <v>190</v>
      </c>
      <c r="B192" s="29">
        <v>501286</v>
      </c>
      <c r="C192" s="28" t="s">
        <v>257</v>
      </c>
      <c r="D192" s="28"/>
      <c r="E192" s="28">
        <v>20250605</v>
      </c>
      <c r="F192" s="28"/>
      <c r="G192" s="29" t="s">
        <v>51</v>
      </c>
      <c r="H192" s="30" t="s">
        <v>128</v>
      </c>
      <c r="I192" s="28" t="s">
        <v>129</v>
      </c>
      <c r="J192" s="28" t="s">
        <v>58</v>
      </c>
      <c r="K192" s="28">
        <v>7</v>
      </c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 t="b">
        <f t="shared" si="4"/>
        <v>1</v>
      </c>
      <c r="Z192" s="28"/>
      <c r="AA192" s="28"/>
      <c r="AB192" s="28"/>
      <c r="AC192" s="28"/>
      <c r="AD192" s="28"/>
      <c r="AE192" s="28"/>
      <c r="AF192" s="28"/>
      <c r="AG192" s="31">
        <v>7</v>
      </c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>
        <f t="shared" si="5"/>
        <v>7</v>
      </c>
      <c r="BC192" s="28"/>
    </row>
    <row r="193" spans="1:55">
      <c r="A193" s="28">
        <v>191</v>
      </c>
      <c r="B193" s="29">
        <v>501305</v>
      </c>
      <c r="C193" s="28" t="s">
        <v>267</v>
      </c>
      <c r="D193" s="28"/>
      <c r="E193" s="28">
        <v>20251106</v>
      </c>
      <c r="F193" s="28"/>
      <c r="G193" s="29" t="s">
        <v>51</v>
      </c>
      <c r="H193" s="30" t="s">
        <v>128</v>
      </c>
      <c r="I193" s="28" t="s">
        <v>129</v>
      </c>
      <c r="J193" s="28" t="s">
        <v>58</v>
      </c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 t="b">
        <f t="shared" si="4"/>
        <v>1</v>
      </c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>
        <f t="shared" si="5"/>
        <v>0</v>
      </c>
      <c r="BC193" s="28"/>
    </row>
    <row r="194" spans="1:55">
      <c r="A194" s="28">
        <v>192</v>
      </c>
      <c r="B194" s="29">
        <v>501306</v>
      </c>
      <c r="C194" s="28" t="s">
        <v>268</v>
      </c>
      <c r="D194" s="28"/>
      <c r="E194" s="28">
        <v>20251106</v>
      </c>
      <c r="F194" s="28"/>
      <c r="G194" s="29" t="s">
        <v>51</v>
      </c>
      <c r="H194" s="30" t="s">
        <v>128</v>
      </c>
      <c r="I194" s="28" t="s">
        <v>129</v>
      </c>
      <c r="J194" s="28" t="s">
        <v>58</v>
      </c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 t="b">
        <f t="shared" si="4"/>
        <v>1</v>
      </c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>
        <f t="shared" si="5"/>
        <v>0</v>
      </c>
      <c r="BC194" s="28"/>
    </row>
    <row r="195" spans="1:55">
      <c r="A195" s="28">
        <v>193</v>
      </c>
      <c r="B195" s="29">
        <v>501318</v>
      </c>
      <c r="C195" s="28" t="s">
        <v>420</v>
      </c>
      <c r="D195" s="28"/>
      <c r="E195" s="28">
        <v>20260226</v>
      </c>
      <c r="F195" s="28"/>
      <c r="G195" s="29" t="s">
        <v>51</v>
      </c>
      <c r="H195" s="30" t="s">
        <v>128</v>
      </c>
      <c r="I195" s="28" t="s">
        <v>129</v>
      </c>
      <c r="J195" s="28" t="s">
        <v>58</v>
      </c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 t="b">
        <f t="shared" ref="Y195:Y258" si="6">SUM(K195:X195)=SUM(Z195:BA195)</f>
        <v>1</v>
      </c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>
        <f t="shared" ref="BB195:BB258" si="7">SUM(Z195:BA195)</f>
        <v>0</v>
      </c>
      <c r="BC195" s="28"/>
    </row>
    <row r="196" spans="1:55">
      <c r="A196" s="28">
        <v>194</v>
      </c>
      <c r="B196" s="29">
        <v>100525</v>
      </c>
      <c r="C196" s="28" t="s">
        <v>50</v>
      </c>
      <c r="D196" s="28"/>
      <c r="E196" s="28">
        <v>20150706</v>
      </c>
      <c r="F196" s="28"/>
      <c r="G196" s="29" t="s">
        <v>51</v>
      </c>
      <c r="H196" s="30" t="s">
        <v>52</v>
      </c>
      <c r="I196" s="28" t="s">
        <v>53</v>
      </c>
      <c r="J196" s="28" t="s">
        <v>54</v>
      </c>
      <c r="K196" s="28">
        <v>4</v>
      </c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 t="b">
        <f t="shared" si="6"/>
        <v>1</v>
      </c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31">
        <v>4</v>
      </c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>
        <f t="shared" si="7"/>
        <v>4</v>
      </c>
      <c r="BC196" s="28"/>
    </row>
    <row r="197" spans="1:55">
      <c r="A197" s="28">
        <v>195</v>
      </c>
      <c r="B197" s="29">
        <v>500368</v>
      </c>
      <c r="C197" s="28" t="s">
        <v>124</v>
      </c>
      <c r="D197" s="28"/>
      <c r="E197" s="28">
        <v>20160906</v>
      </c>
      <c r="F197" s="28"/>
      <c r="G197" s="29" t="s">
        <v>51</v>
      </c>
      <c r="H197" s="30" t="s">
        <v>52</v>
      </c>
      <c r="I197" s="28" t="s">
        <v>53</v>
      </c>
      <c r="J197" s="28" t="s">
        <v>54</v>
      </c>
      <c r="K197" s="28"/>
      <c r="L197" s="28">
        <v>3.7299999999999995</v>
      </c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 t="b">
        <f t="shared" si="6"/>
        <v>1</v>
      </c>
      <c r="Z197" s="28"/>
      <c r="AA197" s="28"/>
      <c r="AB197" s="28"/>
      <c r="AC197" s="28"/>
      <c r="AD197" s="32">
        <v>0.6</v>
      </c>
      <c r="AE197" s="28"/>
      <c r="AF197" s="28"/>
      <c r="AG197" s="28"/>
      <c r="AH197" s="28"/>
      <c r="AI197" s="32">
        <v>1.03</v>
      </c>
      <c r="AJ197" s="32">
        <v>0.63</v>
      </c>
      <c r="AK197" s="28"/>
      <c r="AL197" s="28"/>
      <c r="AM197" s="28"/>
      <c r="AN197" s="28"/>
      <c r="AO197" s="28"/>
      <c r="AP197" s="28"/>
      <c r="AQ197" s="28"/>
      <c r="AR197" s="28"/>
      <c r="AS197" s="28"/>
      <c r="AT197" s="32">
        <v>0.36</v>
      </c>
      <c r="AU197" s="28"/>
      <c r="AV197" s="32">
        <v>0.38</v>
      </c>
      <c r="AW197" s="28"/>
      <c r="AX197" s="28"/>
      <c r="AY197" s="32">
        <v>0.38</v>
      </c>
      <c r="AZ197" s="32">
        <v>0.35</v>
      </c>
      <c r="BA197" s="28"/>
      <c r="BB197" s="28">
        <f t="shared" si="7"/>
        <v>3.7299999999999995</v>
      </c>
      <c r="BC197" s="28"/>
    </row>
    <row r="198" spans="1:55">
      <c r="A198" s="28">
        <v>196</v>
      </c>
      <c r="B198" s="29">
        <v>500372</v>
      </c>
      <c r="C198" s="28" t="s">
        <v>125</v>
      </c>
      <c r="D198" s="28"/>
      <c r="E198" s="28">
        <v>20160915</v>
      </c>
      <c r="F198" s="28"/>
      <c r="G198" s="29" t="s">
        <v>51</v>
      </c>
      <c r="H198" s="30" t="s">
        <v>52</v>
      </c>
      <c r="I198" s="28" t="s">
        <v>53</v>
      </c>
      <c r="J198" s="28" t="s">
        <v>54</v>
      </c>
      <c r="K198" s="28"/>
      <c r="L198" s="28"/>
      <c r="M198" s="28">
        <v>14</v>
      </c>
      <c r="N198" s="28"/>
      <c r="O198" s="28">
        <v>7</v>
      </c>
      <c r="P198" s="28"/>
      <c r="Q198" s="28"/>
      <c r="R198" s="28"/>
      <c r="S198" s="28"/>
      <c r="T198" s="28"/>
      <c r="U198" s="28"/>
      <c r="V198" s="28"/>
      <c r="W198" s="28"/>
      <c r="X198" s="28"/>
      <c r="Y198" s="28" t="b">
        <f t="shared" si="6"/>
        <v>1</v>
      </c>
      <c r="Z198" s="28"/>
      <c r="AA198" s="28"/>
      <c r="AB198" s="28"/>
      <c r="AC198" s="28"/>
      <c r="AD198" s="28"/>
      <c r="AE198" s="28"/>
      <c r="AF198" s="28"/>
      <c r="AG198" s="28"/>
      <c r="AH198" s="28"/>
      <c r="AI198" s="33">
        <v>7</v>
      </c>
      <c r="AJ198" s="28"/>
      <c r="AK198" s="28"/>
      <c r="AL198" s="28"/>
      <c r="AM198" s="28"/>
      <c r="AN198" s="28"/>
      <c r="AO198" s="28"/>
      <c r="AP198" s="28"/>
      <c r="AQ198" s="28"/>
      <c r="AR198" s="34">
        <v>7</v>
      </c>
      <c r="AS198" s="34">
        <v>7</v>
      </c>
      <c r="AT198" s="28"/>
      <c r="AU198" s="28"/>
      <c r="AV198" s="28"/>
      <c r="AW198" s="28"/>
      <c r="AX198" s="28"/>
      <c r="AY198" s="28"/>
      <c r="AZ198" s="28"/>
      <c r="BA198" s="28"/>
      <c r="BB198" s="28">
        <f t="shared" si="7"/>
        <v>21</v>
      </c>
      <c r="BC198" s="28"/>
    </row>
    <row r="199" spans="1:55">
      <c r="A199" s="28">
        <v>197</v>
      </c>
      <c r="B199" s="29">
        <v>500776</v>
      </c>
      <c r="C199" s="28" t="s">
        <v>167</v>
      </c>
      <c r="D199" s="28"/>
      <c r="E199" s="28">
        <v>20180710</v>
      </c>
      <c r="F199" s="28"/>
      <c r="G199" s="29" t="s">
        <v>51</v>
      </c>
      <c r="H199" s="30" t="s">
        <v>52</v>
      </c>
      <c r="I199" s="28" t="s">
        <v>53</v>
      </c>
      <c r="J199" s="28" t="s">
        <v>54</v>
      </c>
      <c r="K199" s="28">
        <v>8</v>
      </c>
      <c r="L199" s="28"/>
      <c r="M199" s="28">
        <v>24</v>
      </c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 t="b">
        <f t="shared" si="6"/>
        <v>1</v>
      </c>
      <c r="Z199" s="28"/>
      <c r="AA199" s="28"/>
      <c r="AB199" s="28"/>
      <c r="AC199" s="34">
        <v>8</v>
      </c>
      <c r="AD199" s="34">
        <v>8</v>
      </c>
      <c r="AE199" s="34">
        <v>8</v>
      </c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31">
        <v>8</v>
      </c>
      <c r="AX199" s="28"/>
      <c r="AY199" s="28"/>
      <c r="AZ199" s="28"/>
      <c r="BA199" s="28"/>
      <c r="BB199" s="28">
        <f t="shared" si="7"/>
        <v>32</v>
      </c>
      <c r="BC199" s="28"/>
    </row>
    <row r="200" spans="1:55">
      <c r="A200" s="28">
        <v>198</v>
      </c>
      <c r="B200" s="29">
        <v>500830</v>
      </c>
      <c r="C200" s="28" t="s">
        <v>83</v>
      </c>
      <c r="D200" s="28"/>
      <c r="E200" s="28">
        <v>20190108</v>
      </c>
      <c r="F200" s="28"/>
      <c r="G200" s="29" t="s">
        <v>51</v>
      </c>
      <c r="H200" s="30" t="s">
        <v>52</v>
      </c>
      <c r="I200" s="28" t="s">
        <v>53</v>
      </c>
      <c r="J200" s="28" t="s">
        <v>54</v>
      </c>
      <c r="K200" s="28"/>
      <c r="L200" s="28"/>
      <c r="M200" s="28">
        <v>208</v>
      </c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 t="b">
        <f t="shared" si="6"/>
        <v>1</v>
      </c>
      <c r="Z200" s="34">
        <v>8</v>
      </c>
      <c r="AA200" s="34">
        <v>8</v>
      </c>
      <c r="AB200" s="34">
        <v>8</v>
      </c>
      <c r="AC200" s="34">
        <v>8</v>
      </c>
      <c r="AD200" s="34">
        <v>8</v>
      </c>
      <c r="AE200" s="34">
        <v>8</v>
      </c>
      <c r="AF200" s="34">
        <v>4</v>
      </c>
      <c r="AG200" s="34">
        <v>8</v>
      </c>
      <c r="AH200" s="34">
        <v>8</v>
      </c>
      <c r="AI200" s="34">
        <v>8</v>
      </c>
      <c r="AJ200" s="34">
        <v>8</v>
      </c>
      <c r="AK200" s="34">
        <v>8</v>
      </c>
      <c r="AL200" s="34">
        <v>8</v>
      </c>
      <c r="AM200" s="34">
        <v>4</v>
      </c>
      <c r="AN200" s="34">
        <v>8</v>
      </c>
      <c r="AO200" s="34">
        <v>8</v>
      </c>
      <c r="AP200" s="34">
        <v>8</v>
      </c>
      <c r="AQ200" s="34">
        <v>8</v>
      </c>
      <c r="AR200" s="34">
        <v>8</v>
      </c>
      <c r="AS200" s="34">
        <v>8</v>
      </c>
      <c r="AT200" s="34">
        <v>4</v>
      </c>
      <c r="AU200" s="34">
        <v>8</v>
      </c>
      <c r="AV200" s="34">
        <v>8</v>
      </c>
      <c r="AW200" s="34">
        <v>8</v>
      </c>
      <c r="AX200" s="34">
        <v>8</v>
      </c>
      <c r="AY200" s="34">
        <v>8</v>
      </c>
      <c r="AZ200" s="34">
        <v>8</v>
      </c>
      <c r="BA200" s="34">
        <v>4</v>
      </c>
      <c r="BB200" s="28">
        <f t="shared" si="7"/>
        <v>208</v>
      </c>
      <c r="BC200" s="28"/>
    </row>
    <row r="201" spans="1:55">
      <c r="A201" s="28">
        <v>199</v>
      </c>
      <c r="B201" s="29">
        <v>500247</v>
      </c>
      <c r="C201" s="28" t="s">
        <v>276</v>
      </c>
      <c r="D201" s="28"/>
      <c r="E201" s="28">
        <v>20151229</v>
      </c>
      <c r="F201" s="28"/>
      <c r="G201" s="29" t="s">
        <v>277</v>
      </c>
      <c r="H201" s="28" t="s">
        <v>278</v>
      </c>
      <c r="I201" s="28" t="s">
        <v>279</v>
      </c>
      <c r="J201" s="28" t="s">
        <v>54</v>
      </c>
      <c r="K201" s="28"/>
      <c r="L201" s="28"/>
      <c r="M201" s="28"/>
      <c r="N201" s="28"/>
      <c r="O201" s="28">
        <v>8</v>
      </c>
      <c r="P201" s="28"/>
      <c r="Q201" s="28"/>
      <c r="R201" s="28"/>
      <c r="S201" s="28"/>
      <c r="T201" s="28"/>
      <c r="U201" s="28"/>
      <c r="V201" s="28"/>
      <c r="W201" s="28"/>
      <c r="X201" s="28"/>
      <c r="Y201" s="28" t="b">
        <f t="shared" si="6"/>
        <v>1</v>
      </c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33">
        <v>8</v>
      </c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>
        <f t="shared" si="7"/>
        <v>8</v>
      </c>
      <c r="BC201" s="28"/>
    </row>
    <row r="202" spans="1:55">
      <c r="A202" s="28">
        <v>200</v>
      </c>
      <c r="B202" s="29">
        <v>501313</v>
      </c>
      <c r="C202" s="28" t="s">
        <v>280</v>
      </c>
      <c r="D202" s="28"/>
      <c r="E202" s="28">
        <v>20251121</v>
      </c>
      <c r="F202" s="28"/>
      <c r="G202" s="29" t="s">
        <v>277</v>
      </c>
      <c r="H202" s="28" t="s">
        <v>281</v>
      </c>
      <c r="I202" s="28" t="s">
        <v>282</v>
      </c>
      <c r="J202" s="28" t="s">
        <v>54</v>
      </c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 t="b">
        <f t="shared" si="6"/>
        <v>1</v>
      </c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>
        <f t="shared" si="7"/>
        <v>0</v>
      </c>
      <c r="BC202" s="28"/>
    </row>
    <row r="203" spans="1:55">
      <c r="A203" s="28">
        <v>201</v>
      </c>
      <c r="B203" s="29">
        <v>100086</v>
      </c>
      <c r="C203" s="28" t="s">
        <v>284</v>
      </c>
      <c r="D203" s="28"/>
      <c r="E203" s="28">
        <v>20150305</v>
      </c>
      <c r="F203" s="28"/>
      <c r="G203" s="29" t="s">
        <v>283</v>
      </c>
      <c r="H203" s="28" t="s">
        <v>285</v>
      </c>
      <c r="I203" s="28" t="s">
        <v>286</v>
      </c>
      <c r="J203" s="28" t="s">
        <v>58</v>
      </c>
      <c r="K203" s="28"/>
      <c r="L203" s="28"/>
      <c r="M203" s="28"/>
      <c r="N203" s="28"/>
      <c r="O203" s="28">
        <v>8</v>
      </c>
      <c r="P203" s="28"/>
      <c r="Q203" s="28"/>
      <c r="R203" s="28"/>
      <c r="S203" s="28"/>
      <c r="T203" s="28"/>
      <c r="U203" s="28"/>
      <c r="V203" s="28"/>
      <c r="W203" s="28"/>
      <c r="X203" s="28"/>
      <c r="Y203" s="28" t="b">
        <f t="shared" si="6"/>
        <v>1</v>
      </c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33">
        <v>8</v>
      </c>
      <c r="AZ203" s="28"/>
      <c r="BA203" s="28"/>
      <c r="BB203" s="28">
        <f t="shared" si="7"/>
        <v>8</v>
      </c>
      <c r="BC203" s="28"/>
    </row>
    <row r="204" spans="1:55">
      <c r="A204" s="28">
        <v>202</v>
      </c>
      <c r="B204" s="29">
        <v>102440</v>
      </c>
      <c r="C204" s="28" t="s">
        <v>87</v>
      </c>
      <c r="D204" s="28"/>
      <c r="E204" s="28">
        <v>20160329</v>
      </c>
      <c r="F204" s="28"/>
      <c r="G204" s="29" t="s">
        <v>283</v>
      </c>
      <c r="H204" s="28" t="s">
        <v>285</v>
      </c>
      <c r="I204" s="28" t="s">
        <v>286</v>
      </c>
      <c r="J204" s="28" t="s">
        <v>58</v>
      </c>
      <c r="K204" s="28">
        <v>6</v>
      </c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 t="b">
        <f t="shared" si="6"/>
        <v>1</v>
      </c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31">
        <v>6</v>
      </c>
      <c r="AT204" s="28"/>
      <c r="AU204" s="28"/>
      <c r="AV204" s="28"/>
      <c r="AW204" s="28"/>
      <c r="AX204" s="28"/>
      <c r="AY204" s="28"/>
      <c r="AZ204" s="28"/>
      <c r="BA204" s="28"/>
      <c r="BB204" s="28">
        <f t="shared" si="7"/>
        <v>6</v>
      </c>
      <c r="BC204" s="28"/>
    </row>
    <row r="205" spans="1:55">
      <c r="A205" s="28">
        <v>203</v>
      </c>
      <c r="B205" s="29">
        <v>118691</v>
      </c>
      <c r="C205" s="28" t="s">
        <v>327</v>
      </c>
      <c r="D205" s="28"/>
      <c r="E205" s="28">
        <v>20191107</v>
      </c>
      <c r="F205" s="28"/>
      <c r="G205" s="29" t="s">
        <v>283</v>
      </c>
      <c r="H205" s="28" t="s">
        <v>285</v>
      </c>
      <c r="I205" s="28" t="s">
        <v>286</v>
      </c>
      <c r="J205" s="28" t="s">
        <v>58</v>
      </c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 t="b">
        <f t="shared" si="6"/>
        <v>1</v>
      </c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>
        <f t="shared" si="7"/>
        <v>0</v>
      </c>
      <c r="BC205" s="28"/>
    </row>
    <row r="206" spans="1:55">
      <c r="A206" s="28">
        <v>204</v>
      </c>
      <c r="B206" s="29">
        <v>119263</v>
      </c>
      <c r="C206" s="28" t="s">
        <v>329</v>
      </c>
      <c r="D206" s="28"/>
      <c r="E206" s="28">
        <v>20200114</v>
      </c>
      <c r="F206" s="28"/>
      <c r="G206" s="29" t="s">
        <v>283</v>
      </c>
      <c r="H206" s="28" t="s">
        <v>285</v>
      </c>
      <c r="I206" s="28" t="s">
        <v>286</v>
      </c>
      <c r="J206" s="28" t="s">
        <v>58</v>
      </c>
      <c r="K206" s="28"/>
      <c r="L206" s="28">
        <v>5</v>
      </c>
      <c r="M206" s="28"/>
      <c r="N206" s="28"/>
      <c r="O206" s="28">
        <v>8</v>
      </c>
      <c r="P206" s="28"/>
      <c r="Q206" s="28"/>
      <c r="R206" s="28"/>
      <c r="S206" s="28"/>
      <c r="T206" s="28"/>
      <c r="U206" s="28"/>
      <c r="V206" s="28"/>
      <c r="W206" s="28"/>
      <c r="X206" s="28"/>
      <c r="Y206" s="28" t="b">
        <f t="shared" si="6"/>
        <v>1</v>
      </c>
      <c r="Z206" s="28"/>
      <c r="AA206" s="28"/>
      <c r="AB206" s="28"/>
      <c r="AC206" s="28"/>
      <c r="AD206" s="28"/>
      <c r="AE206" s="28"/>
      <c r="AF206" s="28"/>
      <c r="AG206" s="28"/>
      <c r="AH206" s="32">
        <v>5</v>
      </c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33">
        <v>8</v>
      </c>
      <c r="AZ206" s="28"/>
      <c r="BA206" s="28"/>
      <c r="BB206" s="28">
        <f t="shared" si="7"/>
        <v>13</v>
      </c>
      <c r="BC206" s="28"/>
    </row>
    <row r="207" spans="1:55">
      <c r="A207" s="28">
        <v>205</v>
      </c>
      <c r="B207" s="29">
        <v>120584</v>
      </c>
      <c r="C207" s="28" t="s">
        <v>331</v>
      </c>
      <c r="D207" s="28"/>
      <c r="E207" s="28">
        <v>20200330</v>
      </c>
      <c r="F207" s="28"/>
      <c r="G207" s="29" t="s">
        <v>283</v>
      </c>
      <c r="H207" s="28" t="s">
        <v>285</v>
      </c>
      <c r="I207" s="28" t="s">
        <v>286</v>
      </c>
      <c r="J207" s="28" t="s">
        <v>58</v>
      </c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 t="b">
        <f t="shared" si="6"/>
        <v>1</v>
      </c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>
        <f t="shared" si="7"/>
        <v>0</v>
      </c>
      <c r="BC207" s="28"/>
    </row>
    <row r="208" spans="1:55">
      <c r="A208" s="28">
        <v>206</v>
      </c>
      <c r="B208" s="29">
        <v>127745</v>
      </c>
      <c r="C208" s="28" t="s">
        <v>342</v>
      </c>
      <c r="D208" s="28"/>
      <c r="E208" s="28">
        <v>20220621</v>
      </c>
      <c r="F208" s="28"/>
      <c r="G208" s="29" t="s">
        <v>283</v>
      </c>
      <c r="H208" s="28" t="s">
        <v>285</v>
      </c>
      <c r="I208" s="28" t="s">
        <v>286</v>
      </c>
      <c r="J208" s="28" t="s">
        <v>54</v>
      </c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 t="b">
        <f t="shared" si="6"/>
        <v>1</v>
      </c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>
        <f t="shared" si="7"/>
        <v>0</v>
      </c>
      <c r="BC208" s="28"/>
    </row>
    <row r="209" spans="1:55">
      <c r="A209" s="28">
        <v>207</v>
      </c>
      <c r="B209" s="29">
        <v>130797</v>
      </c>
      <c r="C209" s="28" t="s">
        <v>358</v>
      </c>
      <c r="D209" s="28"/>
      <c r="E209" s="28">
        <v>20240507</v>
      </c>
      <c r="F209" s="28"/>
      <c r="G209" s="29" t="s">
        <v>283</v>
      </c>
      <c r="H209" s="28" t="s">
        <v>285</v>
      </c>
      <c r="I209" s="28" t="s">
        <v>286</v>
      </c>
      <c r="J209" s="28" t="s">
        <v>58</v>
      </c>
      <c r="K209" s="28"/>
      <c r="L209" s="28"/>
      <c r="M209" s="28"/>
      <c r="N209" s="28"/>
      <c r="O209" s="28">
        <v>8</v>
      </c>
      <c r="P209" s="28"/>
      <c r="Q209" s="28"/>
      <c r="R209" s="28"/>
      <c r="S209" s="28"/>
      <c r="T209" s="28"/>
      <c r="U209" s="28"/>
      <c r="V209" s="28"/>
      <c r="W209" s="28"/>
      <c r="X209" s="28"/>
      <c r="Y209" s="28" t="b">
        <f t="shared" si="6"/>
        <v>1</v>
      </c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33">
        <v>8</v>
      </c>
      <c r="BA209" s="28"/>
      <c r="BB209" s="28">
        <f t="shared" si="7"/>
        <v>8</v>
      </c>
      <c r="BC209" s="28"/>
    </row>
    <row r="210" spans="1:55">
      <c r="A210" s="28">
        <v>208</v>
      </c>
      <c r="B210" s="29">
        <v>131983</v>
      </c>
      <c r="C210" s="28" t="s">
        <v>330</v>
      </c>
      <c r="D210" s="28"/>
      <c r="E210" s="28">
        <v>20240913</v>
      </c>
      <c r="F210" s="28"/>
      <c r="G210" s="29" t="s">
        <v>283</v>
      </c>
      <c r="H210" s="28" t="s">
        <v>285</v>
      </c>
      <c r="I210" s="28" t="s">
        <v>286</v>
      </c>
      <c r="J210" s="28" t="s">
        <v>54</v>
      </c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 t="b">
        <f t="shared" si="6"/>
        <v>1</v>
      </c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>
        <f t="shared" si="7"/>
        <v>0</v>
      </c>
      <c r="BC210" s="28"/>
    </row>
    <row r="211" spans="1:55">
      <c r="A211" s="28">
        <v>209</v>
      </c>
      <c r="B211" s="29">
        <v>132446</v>
      </c>
      <c r="C211" s="28" t="s">
        <v>369</v>
      </c>
      <c r="D211" s="28"/>
      <c r="E211" s="28">
        <v>20241010</v>
      </c>
      <c r="F211" s="28"/>
      <c r="G211" s="29" t="s">
        <v>283</v>
      </c>
      <c r="H211" s="28" t="s">
        <v>285</v>
      </c>
      <c r="I211" s="28" t="s">
        <v>286</v>
      </c>
      <c r="J211" s="28" t="s">
        <v>54</v>
      </c>
      <c r="K211" s="28">
        <v>3.5</v>
      </c>
      <c r="L211" s="28"/>
      <c r="M211" s="28">
        <v>36</v>
      </c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 t="b">
        <f t="shared" si="6"/>
        <v>1</v>
      </c>
      <c r="Z211" s="28"/>
      <c r="AA211" s="28"/>
      <c r="AB211" s="28"/>
      <c r="AC211" s="28"/>
      <c r="AD211" s="28"/>
      <c r="AE211" s="34">
        <v>8</v>
      </c>
      <c r="AF211" s="34">
        <v>4</v>
      </c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31">
        <v>3.5</v>
      </c>
      <c r="AT211" s="28"/>
      <c r="AU211" s="28"/>
      <c r="AV211" s="34">
        <v>8</v>
      </c>
      <c r="AW211" s="34">
        <v>8</v>
      </c>
      <c r="AX211" s="34">
        <v>8</v>
      </c>
      <c r="AY211" s="28"/>
      <c r="AZ211" s="28"/>
      <c r="BA211" s="28"/>
      <c r="BB211" s="28">
        <f t="shared" si="7"/>
        <v>39.5</v>
      </c>
      <c r="BC211" s="28"/>
    </row>
    <row r="212" spans="1:55">
      <c r="A212" s="28">
        <v>210</v>
      </c>
      <c r="B212" s="29">
        <v>132897</v>
      </c>
      <c r="C212" s="28" t="s">
        <v>372</v>
      </c>
      <c r="D212" s="28"/>
      <c r="E212" s="28">
        <v>20241108</v>
      </c>
      <c r="F212" s="28"/>
      <c r="G212" s="29" t="s">
        <v>283</v>
      </c>
      <c r="H212" s="28" t="s">
        <v>285</v>
      </c>
      <c r="I212" s="28" t="s">
        <v>286</v>
      </c>
      <c r="J212" s="28" t="s">
        <v>58</v>
      </c>
      <c r="K212" s="28"/>
      <c r="L212" s="28">
        <v>4.8600000000000003</v>
      </c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 t="b">
        <f t="shared" si="6"/>
        <v>1</v>
      </c>
      <c r="Z212" s="28"/>
      <c r="AA212" s="28"/>
      <c r="AB212" s="28"/>
      <c r="AC212" s="28"/>
      <c r="AD212" s="32">
        <v>0.45</v>
      </c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32">
        <v>0.41</v>
      </c>
      <c r="AS212" s="28"/>
      <c r="AT212" s="32">
        <v>4</v>
      </c>
      <c r="AU212" s="28"/>
      <c r="AV212" s="28"/>
      <c r="AW212" s="28"/>
      <c r="AX212" s="28"/>
      <c r="AY212" s="28"/>
      <c r="AZ212" s="28"/>
      <c r="BA212" s="28"/>
      <c r="BB212" s="28">
        <f t="shared" si="7"/>
        <v>4.8600000000000003</v>
      </c>
      <c r="BC212" s="28"/>
    </row>
    <row r="213" spans="1:55">
      <c r="A213" s="28">
        <v>211</v>
      </c>
      <c r="B213" s="29">
        <v>133454</v>
      </c>
      <c r="C213" s="28" t="s">
        <v>378</v>
      </c>
      <c r="D213" s="28"/>
      <c r="E213" s="28">
        <v>20250106</v>
      </c>
      <c r="F213" s="28"/>
      <c r="G213" s="29" t="s">
        <v>283</v>
      </c>
      <c r="H213" s="28" t="s">
        <v>285</v>
      </c>
      <c r="I213" s="28" t="s">
        <v>286</v>
      </c>
      <c r="J213" s="28" t="s">
        <v>54</v>
      </c>
      <c r="K213" s="28"/>
      <c r="L213" s="28">
        <v>3.5</v>
      </c>
      <c r="M213" s="28"/>
      <c r="N213" s="28"/>
      <c r="O213" s="28">
        <v>68</v>
      </c>
      <c r="P213" s="28"/>
      <c r="Q213" s="28"/>
      <c r="R213" s="28"/>
      <c r="S213" s="28">
        <v>8</v>
      </c>
      <c r="T213" s="28"/>
      <c r="U213" s="28"/>
      <c r="V213" s="28"/>
      <c r="W213" s="28"/>
      <c r="X213" s="28"/>
      <c r="Y213" s="28" t="b">
        <f t="shared" si="6"/>
        <v>1</v>
      </c>
      <c r="Z213" s="28"/>
      <c r="AA213" s="33">
        <v>8</v>
      </c>
      <c r="AB213" s="28"/>
      <c r="AC213" s="28"/>
      <c r="AD213" s="28"/>
      <c r="AE213" s="33">
        <v>8</v>
      </c>
      <c r="AF213" s="33">
        <v>4</v>
      </c>
      <c r="AG213" s="33">
        <v>8</v>
      </c>
      <c r="AH213" s="33">
        <v>8</v>
      </c>
      <c r="AI213" s="33">
        <v>8</v>
      </c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32">
        <v>3.5</v>
      </c>
      <c r="AX213" s="33">
        <v>8</v>
      </c>
      <c r="AY213" s="33">
        <v>8</v>
      </c>
      <c r="AZ213" s="33">
        <v>8</v>
      </c>
      <c r="BA213" s="35">
        <v>8</v>
      </c>
      <c r="BB213" s="28">
        <f t="shared" si="7"/>
        <v>79.5</v>
      </c>
      <c r="BC213" s="28"/>
    </row>
    <row r="214" spans="1:55">
      <c r="A214" s="28">
        <v>212</v>
      </c>
      <c r="B214" s="29">
        <v>133543</v>
      </c>
      <c r="C214" s="28" t="s">
        <v>379</v>
      </c>
      <c r="D214" s="28"/>
      <c r="E214" s="28">
        <v>20250113</v>
      </c>
      <c r="F214" s="28"/>
      <c r="G214" s="29" t="s">
        <v>283</v>
      </c>
      <c r="H214" s="28" t="s">
        <v>285</v>
      </c>
      <c r="I214" s="28" t="s">
        <v>286</v>
      </c>
      <c r="J214" s="28" t="s">
        <v>58</v>
      </c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 t="b">
        <f t="shared" si="6"/>
        <v>1</v>
      </c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>
        <f t="shared" si="7"/>
        <v>0</v>
      </c>
      <c r="BC214" s="28"/>
    </row>
    <row r="215" spans="1:55">
      <c r="A215" s="28">
        <v>213</v>
      </c>
      <c r="B215" s="29">
        <v>133544</v>
      </c>
      <c r="C215" s="28" t="s">
        <v>380</v>
      </c>
      <c r="D215" s="28"/>
      <c r="E215" s="28">
        <v>20250113</v>
      </c>
      <c r="F215" s="28"/>
      <c r="G215" s="29" t="s">
        <v>283</v>
      </c>
      <c r="H215" s="28" t="s">
        <v>285</v>
      </c>
      <c r="I215" s="28" t="s">
        <v>286</v>
      </c>
      <c r="J215" s="28" t="s">
        <v>54</v>
      </c>
      <c r="K215" s="28"/>
      <c r="L215" s="28"/>
      <c r="M215" s="28"/>
      <c r="N215" s="28"/>
      <c r="O215" s="28">
        <v>8</v>
      </c>
      <c r="P215" s="28"/>
      <c r="Q215" s="28"/>
      <c r="R215" s="28"/>
      <c r="S215" s="28"/>
      <c r="T215" s="28"/>
      <c r="U215" s="28"/>
      <c r="V215" s="28"/>
      <c r="W215" s="28"/>
      <c r="X215" s="28"/>
      <c r="Y215" s="28" t="b">
        <f t="shared" si="6"/>
        <v>1</v>
      </c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33">
        <v>8</v>
      </c>
      <c r="AZ215" s="28"/>
      <c r="BA215" s="28"/>
      <c r="BB215" s="28">
        <f t="shared" si="7"/>
        <v>8</v>
      </c>
      <c r="BC215" s="28"/>
    </row>
    <row r="216" spans="1:55">
      <c r="A216" s="28">
        <v>214</v>
      </c>
      <c r="B216" s="29">
        <v>134065</v>
      </c>
      <c r="C216" s="28" t="s">
        <v>389</v>
      </c>
      <c r="D216" s="28"/>
      <c r="E216" s="28">
        <v>20250307</v>
      </c>
      <c r="F216" s="28"/>
      <c r="G216" s="29" t="s">
        <v>283</v>
      </c>
      <c r="H216" s="28" t="s">
        <v>285</v>
      </c>
      <c r="I216" s="28" t="s">
        <v>286</v>
      </c>
      <c r="J216" s="28" t="s">
        <v>58</v>
      </c>
      <c r="K216" s="28"/>
      <c r="L216" s="28">
        <v>8.4</v>
      </c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 t="b">
        <f t="shared" si="6"/>
        <v>1</v>
      </c>
      <c r="Z216" s="28"/>
      <c r="AA216" s="28"/>
      <c r="AB216" s="32">
        <v>8</v>
      </c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32">
        <v>0.4</v>
      </c>
      <c r="AU216" s="28"/>
      <c r="AV216" s="28"/>
      <c r="AW216" s="28"/>
      <c r="AX216" s="28"/>
      <c r="AY216" s="28"/>
      <c r="AZ216" s="28"/>
      <c r="BA216" s="28"/>
      <c r="BB216" s="28">
        <f t="shared" si="7"/>
        <v>8.4</v>
      </c>
      <c r="BC216" s="28"/>
    </row>
    <row r="217" spans="1:55">
      <c r="A217" s="28">
        <v>215</v>
      </c>
      <c r="B217" s="29">
        <v>134089</v>
      </c>
      <c r="C217" s="28" t="s">
        <v>390</v>
      </c>
      <c r="D217" s="28"/>
      <c r="E217" s="28">
        <v>20250310</v>
      </c>
      <c r="F217" s="28"/>
      <c r="G217" s="29" t="s">
        <v>283</v>
      </c>
      <c r="H217" s="28" t="s">
        <v>285</v>
      </c>
      <c r="I217" s="28" t="s">
        <v>286</v>
      </c>
      <c r="J217" s="28" t="s">
        <v>58</v>
      </c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 t="b">
        <f t="shared" si="6"/>
        <v>1</v>
      </c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>
        <f t="shared" si="7"/>
        <v>0</v>
      </c>
      <c r="BC217" s="28"/>
    </row>
    <row r="218" spans="1:55">
      <c r="A218" s="28">
        <v>216</v>
      </c>
      <c r="B218" s="29">
        <v>134831</v>
      </c>
      <c r="C218" s="28" t="s">
        <v>395</v>
      </c>
      <c r="D218" s="28"/>
      <c r="E218" s="28">
        <v>20250506</v>
      </c>
      <c r="F218" s="28"/>
      <c r="G218" s="29" t="s">
        <v>283</v>
      </c>
      <c r="H218" s="28" t="s">
        <v>285</v>
      </c>
      <c r="I218" s="28" t="s">
        <v>286</v>
      </c>
      <c r="J218" s="28" t="s">
        <v>58</v>
      </c>
      <c r="K218" s="28">
        <v>8</v>
      </c>
      <c r="L218" s="28">
        <v>0.45</v>
      </c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 t="b">
        <f t="shared" si="6"/>
        <v>1</v>
      </c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32">
        <v>0.45</v>
      </c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31">
        <v>8</v>
      </c>
      <c r="AZ218" s="28"/>
      <c r="BA218" s="28"/>
      <c r="BB218" s="28">
        <f t="shared" si="7"/>
        <v>8.4499999999999993</v>
      </c>
      <c r="BC218" s="28"/>
    </row>
    <row r="219" spans="1:55">
      <c r="A219" s="28">
        <v>217</v>
      </c>
      <c r="B219" s="29">
        <v>134928</v>
      </c>
      <c r="C219" s="28" t="s">
        <v>397</v>
      </c>
      <c r="D219" s="28"/>
      <c r="E219" s="28">
        <v>20250520</v>
      </c>
      <c r="F219" s="28"/>
      <c r="G219" s="29" t="s">
        <v>283</v>
      </c>
      <c r="H219" s="28" t="s">
        <v>285</v>
      </c>
      <c r="I219" s="28" t="s">
        <v>286</v>
      </c>
      <c r="J219" s="28" t="s">
        <v>54</v>
      </c>
      <c r="K219" s="28">
        <v>4</v>
      </c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 t="b">
        <f t="shared" si="6"/>
        <v>1</v>
      </c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31">
        <v>4</v>
      </c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>
        <f t="shared" si="7"/>
        <v>4</v>
      </c>
      <c r="BC219" s="28"/>
    </row>
    <row r="220" spans="1:55">
      <c r="A220" s="28">
        <v>218</v>
      </c>
      <c r="B220" s="45">
        <v>135011</v>
      </c>
      <c r="C220" s="44" t="s">
        <v>401</v>
      </c>
      <c r="D220" s="44"/>
      <c r="E220" s="44">
        <v>20250624</v>
      </c>
      <c r="F220" s="44">
        <v>20260214</v>
      </c>
      <c r="G220" s="45" t="s">
        <v>283</v>
      </c>
      <c r="H220" s="44" t="s">
        <v>285</v>
      </c>
      <c r="I220" s="44" t="s">
        <v>286</v>
      </c>
      <c r="J220" s="44" t="s">
        <v>54</v>
      </c>
      <c r="K220" s="28"/>
      <c r="L220" s="28">
        <v>16</v>
      </c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>
        <v>40</v>
      </c>
      <c r="Y220" s="28" t="b">
        <f t="shared" si="6"/>
        <v>1</v>
      </c>
      <c r="Z220" s="28"/>
      <c r="AA220" s="32">
        <v>8</v>
      </c>
      <c r="AB220" s="28"/>
      <c r="AC220" s="28"/>
      <c r="AD220" s="28"/>
      <c r="AE220" s="28"/>
      <c r="AF220" s="28"/>
      <c r="AG220" s="28"/>
      <c r="AH220" s="32">
        <v>8</v>
      </c>
      <c r="AI220" s="39">
        <v>8</v>
      </c>
      <c r="AJ220" s="39">
        <v>8</v>
      </c>
      <c r="AK220" s="39">
        <v>8</v>
      </c>
      <c r="AL220" s="39">
        <v>8</v>
      </c>
      <c r="AM220" s="39">
        <v>8</v>
      </c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>
        <f t="shared" si="7"/>
        <v>56</v>
      </c>
      <c r="BC220" s="28"/>
    </row>
    <row r="221" spans="1:55">
      <c r="A221" s="28">
        <v>219</v>
      </c>
      <c r="B221" s="29">
        <v>135481</v>
      </c>
      <c r="C221" s="28" t="s">
        <v>406</v>
      </c>
      <c r="D221" s="28"/>
      <c r="E221" s="28">
        <v>20250916</v>
      </c>
      <c r="F221" s="28"/>
      <c r="G221" s="29" t="s">
        <v>283</v>
      </c>
      <c r="H221" s="28" t="s">
        <v>285</v>
      </c>
      <c r="I221" s="28" t="s">
        <v>286</v>
      </c>
      <c r="J221" s="28" t="s">
        <v>58</v>
      </c>
      <c r="K221" s="28">
        <v>7.5</v>
      </c>
      <c r="L221" s="28">
        <v>3.5</v>
      </c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 t="b">
        <f t="shared" si="6"/>
        <v>1</v>
      </c>
      <c r="Z221" s="28"/>
      <c r="AA221" s="28"/>
      <c r="AB221" s="31">
        <v>3.5</v>
      </c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31">
        <v>4</v>
      </c>
      <c r="AN221" s="28"/>
      <c r="AO221" s="28"/>
      <c r="AP221" s="28"/>
      <c r="AQ221" s="28"/>
      <c r="AR221" s="32">
        <v>3.5</v>
      </c>
      <c r="AS221" s="28"/>
      <c r="AT221" s="28"/>
      <c r="AU221" s="28"/>
      <c r="AV221" s="28"/>
      <c r="AW221" s="28"/>
      <c r="AX221" s="28"/>
      <c r="AY221" s="28"/>
      <c r="AZ221" s="28"/>
      <c r="BA221" s="28"/>
      <c r="BB221" s="28">
        <f t="shared" si="7"/>
        <v>11</v>
      </c>
      <c r="BC221" s="28"/>
    </row>
    <row r="222" spans="1:55">
      <c r="A222" s="28">
        <v>220</v>
      </c>
      <c r="B222" s="29">
        <v>700333</v>
      </c>
      <c r="C222" s="28" t="s">
        <v>425</v>
      </c>
      <c r="D222" s="28"/>
      <c r="E222" s="28">
        <v>20181101</v>
      </c>
      <c r="F222" s="28"/>
      <c r="G222" s="29" t="s">
        <v>283</v>
      </c>
      <c r="H222" s="28" t="s">
        <v>285</v>
      </c>
      <c r="I222" s="28" t="s">
        <v>286</v>
      </c>
      <c r="J222" s="28" t="s">
        <v>58</v>
      </c>
      <c r="K222" s="28"/>
      <c r="L222" s="28"/>
      <c r="M222" s="28"/>
      <c r="N222" s="28"/>
      <c r="O222" s="28">
        <v>8</v>
      </c>
      <c r="P222" s="28"/>
      <c r="Q222" s="28"/>
      <c r="R222" s="28"/>
      <c r="S222" s="28"/>
      <c r="T222" s="28"/>
      <c r="U222" s="28"/>
      <c r="V222" s="28"/>
      <c r="W222" s="28"/>
      <c r="X222" s="28"/>
      <c r="Y222" s="28" t="b">
        <f t="shared" si="6"/>
        <v>1</v>
      </c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33">
        <v>8</v>
      </c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>
        <f t="shared" si="7"/>
        <v>8</v>
      </c>
      <c r="BC222" s="28"/>
    </row>
    <row r="223" spans="1:55">
      <c r="A223" s="28">
        <v>221</v>
      </c>
      <c r="B223" s="29">
        <v>136203</v>
      </c>
      <c r="C223" s="28" t="s">
        <v>430</v>
      </c>
      <c r="D223" s="28"/>
      <c r="E223" s="28">
        <v>20260218</v>
      </c>
      <c r="F223" s="28"/>
      <c r="G223" s="29" t="s">
        <v>283</v>
      </c>
      <c r="H223" s="28" t="s">
        <v>285</v>
      </c>
      <c r="I223" s="28" t="s">
        <v>286</v>
      </c>
      <c r="J223" s="28" t="s">
        <v>54</v>
      </c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 t="b">
        <f t="shared" si="6"/>
        <v>1</v>
      </c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>
        <f t="shared" si="7"/>
        <v>0</v>
      </c>
      <c r="BC223" s="28"/>
    </row>
    <row r="224" spans="1:55">
      <c r="A224" s="28">
        <v>222</v>
      </c>
      <c r="B224" s="29">
        <v>100380</v>
      </c>
      <c r="C224" s="28" t="s">
        <v>290</v>
      </c>
      <c r="D224" s="28"/>
      <c r="E224" s="28">
        <v>20150601</v>
      </c>
      <c r="F224" s="28"/>
      <c r="G224" s="29" t="s">
        <v>283</v>
      </c>
      <c r="H224" s="28" t="s">
        <v>291</v>
      </c>
      <c r="I224" s="28" t="s">
        <v>292</v>
      </c>
      <c r="J224" s="28" t="s">
        <v>54</v>
      </c>
      <c r="K224" s="28">
        <v>8</v>
      </c>
      <c r="L224" s="28"/>
      <c r="M224" s="28"/>
      <c r="N224" s="28"/>
      <c r="O224" s="28">
        <v>16</v>
      </c>
      <c r="P224" s="28"/>
      <c r="Q224" s="28"/>
      <c r="R224" s="28"/>
      <c r="S224" s="28"/>
      <c r="T224" s="28"/>
      <c r="U224" s="28"/>
      <c r="V224" s="28"/>
      <c r="W224" s="28"/>
      <c r="X224" s="28"/>
      <c r="Y224" s="28" t="b">
        <f t="shared" si="6"/>
        <v>1</v>
      </c>
      <c r="Z224" s="28"/>
      <c r="AA224" s="28"/>
      <c r="AB224" s="28"/>
      <c r="AC224" s="33">
        <v>8</v>
      </c>
      <c r="AD224" s="28"/>
      <c r="AE224" s="28"/>
      <c r="AF224" s="28"/>
      <c r="AG224" s="28"/>
      <c r="AH224" s="31">
        <v>8</v>
      </c>
      <c r="AI224" s="28"/>
      <c r="AJ224" s="28"/>
      <c r="AK224" s="28"/>
      <c r="AL224" s="28"/>
      <c r="AM224" s="33">
        <v>8</v>
      </c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>
        <f t="shared" si="7"/>
        <v>24</v>
      </c>
      <c r="BC224" s="28"/>
    </row>
    <row r="225" spans="1:55">
      <c r="A225" s="28">
        <v>223</v>
      </c>
      <c r="B225" s="29">
        <v>104068</v>
      </c>
      <c r="C225" s="28" t="s">
        <v>300</v>
      </c>
      <c r="D225" s="28"/>
      <c r="E225" s="28">
        <v>20160906</v>
      </c>
      <c r="F225" s="28"/>
      <c r="G225" s="29" t="s">
        <v>283</v>
      </c>
      <c r="H225" s="28" t="s">
        <v>291</v>
      </c>
      <c r="I225" s="28" t="s">
        <v>292</v>
      </c>
      <c r="J225" s="28" t="s">
        <v>54</v>
      </c>
      <c r="K225" s="28">
        <v>8</v>
      </c>
      <c r="L225" s="28">
        <v>0.91999999999999993</v>
      </c>
      <c r="M225" s="28"/>
      <c r="N225" s="28"/>
      <c r="O225" s="28">
        <v>8</v>
      </c>
      <c r="P225" s="28"/>
      <c r="Q225" s="28"/>
      <c r="R225" s="28"/>
      <c r="S225" s="28"/>
      <c r="T225" s="28"/>
      <c r="U225" s="28"/>
      <c r="V225" s="28"/>
      <c r="W225" s="28"/>
      <c r="X225" s="28"/>
      <c r="Y225" s="28" t="b">
        <f t="shared" si="6"/>
        <v>1</v>
      </c>
      <c r="Z225" s="28"/>
      <c r="AA225" s="28"/>
      <c r="AB225" s="28"/>
      <c r="AC225" s="28"/>
      <c r="AD225" s="28"/>
      <c r="AE225" s="28"/>
      <c r="AF225" s="28"/>
      <c r="AG225" s="28"/>
      <c r="AH225" s="32">
        <v>0.31</v>
      </c>
      <c r="AI225" s="28"/>
      <c r="AJ225" s="28"/>
      <c r="AK225" s="28"/>
      <c r="AL225" s="28"/>
      <c r="AM225" s="28"/>
      <c r="AN225" s="28"/>
      <c r="AO225" s="28"/>
      <c r="AP225" s="28"/>
      <c r="AQ225" s="33">
        <v>8</v>
      </c>
      <c r="AR225" s="32">
        <v>0.61</v>
      </c>
      <c r="AS225" s="28"/>
      <c r="AT225" s="28"/>
      <c r="AU225" s="28"/>
      <c r="AV225" s="31">
        <v>8</v>
      </c>
      <c r="AW225" s="28"/>
      <c r="AX225" s="28"/>
      <c r="AY225" s="28"/>
      <c r="AZ225" s="28"/>
      <c r="BA225" s="28"/>
      <c r="BB225" s="28">
        <f t="shared" si="7"/>
        <v>16.920000000000002</v>
      </c>
      <c r="BC225" s="28"/>
    </row>
    <row r="226" spans="1:55">
      <c r="A226" s="28">
        <v>224</v>
      </c>
      <c r="B226" s="29">
        <v>113537</v>
      </c>
      <c r="C226" s="28" t="s">
        <v>321</v>
      </c>
      <c r="D226" s="28"/>
      <c r="E226" s="28">
        <v>20181206</v>
      </c>
      <c r="F226" s="28"/>
      <c r="G226" s="29" t="s">
        <v>283</v>
      </c>
      <c r="H226" s="28" t="s">
        <v>291</v>
      </c>
      <c r="I226" s="28" t="s">
        <v>292</v>
      </c>
      <c r="J226" s="28" t="s">
        <v>54</v>
      </c>
      <c r="K226" s="28"/>
      <c r="L226" s="28"/>
      <c r="M226" s="28"/>
      <c r="N226" s="28"/>
      <c r="O226" s="28"/>
      <c r="P226" s="28"/>
      <c r="Q226" s="28"/>
      <c r="R226" s="28"/>
      <c r="S226" s="28">
        <v>8</v>
      </c>
      <c r="T226" s="28"/>
      <c r="U226" s="28"/>
      <c r="V226" s="28"/>
      <c r="W226" s="28"/>
      <c r="X226" s="28"/>
      <c r="Y226" s="28" t="b">
        <f t="shared" si="6"/>
        <v>1</v>
      </c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35">
        <v>8</v>
      </c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>
        <f t="shared" si="7"/>
        <v>8</v>
      </c>
      <c r="BC226" s="28"/>
    </row>
    <row r="227" spans="1:55">
      <c r="A227" s="28">
        <v>225</v>
      </c>
      <c r="B227" s="29">
        <v>113562</v>
      </c>
      <c r="C227" s="28" t="s">
        <v>299</v>
      </c>
      <c r="D227" s="28"/>
      <c r="E227" s="28">
        <v>20181211</v>
      </c>
      <c r="F227" s="28"/>
      <c r="G227" s="29" t="s">
        <v>283</v>
      </c>
      <c r="H227" s="28" t="s">
        <v>291</v>
      </c>
      <c r="I227" s="28" t="s">
        <v>292</v>
      </c>
      <c r="J227" s="28" t="s">
        <v>54</v>
      </c>
      <c r="K227" s="28">
        <v>8</v>
      </c>
      <c r="L227" s="28"/>
      <c r="M227" s="28">
        <v>24</v>
      </c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 t="b">
        <f t="shared" si="6"/>
        <v>1</v>
      </c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31">
        <v>8</v>
      </c>
      <c r="AR227" s="28"/>
      <c r="AS227" s="28"/>
      <c r="AT227" s="28"/>
      <c r="AU227" s="28"/>
      <c r="AV227" s="34">
        <v>8</v>
      </c>
      <c r="AW227" s="34">
        <v>8</v>
      </c>
      <c r="AX227" s="34">
        <v>8</v>
      </c>
      <c r="AY227" s="28"/>
      <c r="AZ227" s="28"/>
      <c r="BA227" s="28"/>
      <c r="BB227" s="28">
        <f t="shared" si="7"/>
        <v>32</v>
      </c>
      <c r="BC227" s="28"/>
    </row>
    <row r="228" spans="1:55">
      <c r="A228" s="28">
        <v>226</v>
      </c>
      <c r="B228" s="29">
        <v>129787</v>
      </c>
      <c r="C228" s="28" t="s">
        <v>350</v>
      </c>
      <c r="D228" s="28"/>
      <c r="E228" s="28">
        <v>20240130</v>
      </c>
      <c r="F228" s="28"/>
      <c r="G228" s="29" t="s">
        <v>283</v>
      </c>
      <c r="H228" s="28" t="s">
        <v>291</v>
      </c>
      <c r="I228" s="28" t="s">
        <v>292</v>
      </c>
      <c r="J228" s="28" t="s">
        <v>58</v>
      </c>
      <c r="K228" s="28"/>
      <c r="L228" s="28"/>
      <c r="M228" s="28"/>
      <c r="N228" s="28"/>
      <c r="O228" s="28">
        <v>8</v>
      </c>
      <c r="P228" s="28"/>
      <c r="Q228" s="28"/>
      <c r="R228" s="28"/>
      <c r="S228" s="28"/>
      <c r="T228" s="28"/>
      <c r="U228" s="28"/>
      <c r="V228" s="28"/>
      <c r="W228" s="28"/>
      <c r="X228" s="28"/>
      <c r="Y228" s="28" t="b">
        <f t="shared" si="6"/>
        <v>1</v>
      </c>
      <c r="Z228" s="28"/>
      <c r="AA228" s="28"/>
      <c r="AB228" s="33">
        <v>8</v>
      </c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>
        <f t="shared" si="7"/>
        <v>8</v>
      </c>
      <c r="BC228" s="28"/>
    </row>
    <row r="229" spans="1:55">
      <c r="A229" s="28">
        <v>227</v>
      </c>
      <c r="B229" s="29">
        <v>129788</v>
      </c>
      <c r="C229" s="28" t="s">
        <v>351</v>
      </c>
      <c r="D229" s="28"/>
      <c r="E229" s="28">
        <v>20240130</v>
      </c>
      <c r="F229" s="28"/>
      <c r="G229" s="29" t="s">
        <v>283</v>
      </c>
      <c r="H229" s="28" t="s">
        <v>291</v>
      </c>
      <c r="I229" s="28" t="s">
        <v>292</v>
      </c>
      <c r="J229" s="28" t="s">
        <v>54</v>
      </c>
      <c r="K229" s="28"/>
      <c r="L229" s="28">
        <v>0.21</v>
      </c>
      <c r="M229" s="28"/>
      <c r="N229" s="28"/>
      <c r="O229" s="28">
        <v>32</v>
      </c>
      <c r="P229" s="28"/>
      <c r="Q229" s="28"/>
      <c r="R229" s="28"/>
      <c r="S229" s="28"/>
      <c r="T229" s="28"/>
      <c r="U229" s="28"/>
      <c r="V229" s="28"/>
      <c r="W229" s="28"/>
      <c r="X229" s="28"/>
      <c r="Y229" s="28" t="b">
        <f t="shared" si="6"/>
        <v>1</v>
      </c>
      <c r="Z229" s="28"/>
      <c r="AA229" s="28"/>
      <c r="AB229" s="28"/>
      <c r="AC229" s="28"/>
      <c r="AD229" s="28"/>
      <c r="AE229" s="28"/>
      <c r="AF229" s="32">
        <v>0.21</v>
      </c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33">
        <v>8</v>
      </c>
      <c r="AW229" s="33">
        <v>8</v>
      </c>
      <c r="AX229" s="33">
        <v>8</v>
      </c>
      <c r="AY229" s="28"/>
      <c r="AZ229" s="33">
        <v>8</v>
      </c>
      <c r="BA229" s="28"/>
      <c r="BB229" s="28">
        <f t="shared" si="7"/>
        <v>32.21</v>
      </c>
      <c r="BC229" s="28"/>
    </row>
    <row r="230" spans="1:55">
      <c r="A230" s="28">
        <v>228</v>
      </c>
      <c r="B230" s="45">
        <v>130326</v>
      </c>
      <c r="C230" s="44" t="s">
        <v>356</v>
      </c>
      <c r="D230" s="44"/>
      <c r="E230" s="44">
        <v>20240325</v>
      </c>
      <c r="F230" s="44">
        <v>20260220</v>
      </c>
      <c r="G230" s="45" t="s">
        <v>283</v>
      </c>
      <c r="H230" s="44" t="s">
        <v>291</v>
      </c>
      <c r="I230" s="44" t="s">
        <v>292</v>
      </c>
      <c r="J230" s="44" t="s">
        <v>54</v>
      </c>
      <c r="K230" s="28"/>
      <c r="L230" s="28">
        <v>64</v>
      </c>
      <c r="M230" s="28"/>
      <c r="N230" s="28"/>
      <c r="O230" s="28"/>
      <c r="P230" s="28"/>
      <c r="Q230" s="28"/>
      <c r="R230" s="28"/>
      <c r="S230" s="28"/>
      <c r="T230" s="28"/>
      <c r="U230" s="28"/>
      <c r="V230" s="28">
        <v>24</v>
      </c>
      <c r="W230" s="28"/>
      <c r="X230" s="28">
        <v>24</v>
      </c>
      <c r="Y230" s="28" t="b">
        <f t="shared" si="6"/>
        <v>1</v>
      </c>
      <c r="Z230" s="28"/>
      <c r="AA230" s="28"/>
      <c r="AB230" s="28"/>
      <c r="AC230" s="28"/>
      <c r="AD230" s="28"/>
      <c r="AE230" s="36">
        <v>8</v>
      </c>
      <c r="AF230" s="32">
        <v>4</v>
      </c>
      <c r="AG230" s="32">
        <v>8</v>
      </c>
      <c r="AH230" s="32">
        <v>8</v>
      </c>
      <c r="AI230" s="32">
        <v>8</v>
      </c>
      <c r="AJ230" s="32">
        <v>8</v>
      </c>
      <c r="AK230" s="36">
        <v>8</v>
      </c>
      <c r="AL230" s="36">
        <v>8</v>
      </c>
      <c r="AM230" s="32">
        <v>4</v>
      </c>
      <c r="AN230" s="32">
        <v>8</v>
      </c>
      <c r="AO230" s="32">
        <v>8</v>
      </c>
      <c r="AP230" s="32">
        <v>8</v>
      </c>
      <c r="AQ230" s="39">
        <v>8</v>
      </c>
      <c r="AR230" s="39">
        <v>8</v>
      </c>
      <c r="AS230" s="39">
        <v>8</v>
      </c>
      <c r="AT230" s="28"/>
      <c r="AU230" s="28"/>
      <c r="AV230" s="28"/>
      <c r="AW230" s="28"/>
      <c r="AX230" s="28"/>
      <c r="AY230" s="28"/>
      <c r="AZ230" s="28"/>
      <c r="BA230" s="28"/>
      <c r="BB230" s="28">
        <f t="shared" si="7"/>
        <v>112</v>
      </c>
      <c r="BC230" s="28"/>
    </row>
    <row r="231" spans="1:55">
      <c r="A231" s="28">
        <v>229</v>
      </c>
      <c r="B231" s="29">
        <v>131378</v>
      </c>
      <c r="C231" s="28" t="s">
        <v>363</v>
      </c>
      <c r="D231" s="28"/>
      <c r="E231" s="28">
        <v>20240806</v>
      </c>
      <c r="F231" s="28"/>
      <c r="G231" s="29" t="s">
        <v>283</v>
      </c>
      <c r="H231" s="28" t="s">
        <v>291</v>
      </c>
      <c r="I231" s="28" t="s">
        <v>292</v>
      </c>
      <c r="J231" s="28" t="s">
        <v>58</v>
      </c>
      <c r="K231" s="28"/>
      <c r="L231" s="28">
        <v>35.06</v>
      </c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 t="b">
        <f t="shared" si="6"/>
        <v>1</v>
      </c>
      <c r="Z231" s="32">
        <v>8</v>
      </c>
      <c r="AA231" s="32">
        <v>8</v>
      </c>
      <c r="AB231" s="32">
        <v>8</v>
      </c>
      <c r="AC231" s="28"/>
      <c r="AD231" s="32">
        <v>3.56</v>
      </c>
      <c r="AE231" s="28"/>
      <c r="AF231" s="28"/>
      <c r="AG231" s="28"/>
      <c r="AH231" s="28"/>
      <c r="AI231" s="28"/>
      <c r="AJ231" s="32">
        <v>3.5</v>
      </c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32">
        <v>4</v>
      </c>
      <c r="BB231" s="28">
        <f t="shared" si="7"/>
        <v>35.06</v>
      </c>
      <c r="BC231" s="28"/>
    </row>
    <row r="232" spans="1:55">
      <c r="A232" s="28">
        <v>230</v>
      </c>
      <c r="B232" s="29">
        <v>131982</v>
      </c>
      <c r="C232" s="28" t="s">
        <v>293</v>
      </c>
      <c r="D232" s="28"/>
      <c r="E232" s="28">
        <v>20240913</v>
      </c>
      <c r="F232" s="28"/>
      <c r="G232" s="29" t="s">
        <v>283</v>
      </c>
      <c r="H232" s="28" t="s">
        <v>291</v>
      </c>
      <c r="I232" s="28" t="s">
        <v>292</v>
      </c>
      <c r="J232" s="28" t="s">
        <v>54</v>
      </c>
      <c r="K232" s="28"/>
      <c r="L232" s="28">
        <v>12.11</v>
      </c>
      <c r="M232" s="28"/>
      <c r="N232" s="28"/>
      <c r="O232" s="28"/>
      <c r="P232" s="28"/>
      <c r="Q232" s="28"/>
      <c r="R232" s="28"/>
      <c r="S232" s="28">
        <v>8</v>
      </c>
      <c r="T232" s="28"/>
      <c r="U232" s="28"/>
      <c r="V232" s="28"/>
      <c r="W232" s="28"/>
      <c r="X232" s="28"/>
      <c r="Y232" s="28" t="b">
        <f t="shared" si="6"/>
        <v>1</v>
      </c>
      <c r="Z232" s="28"/>
      <c r="AA232" s="28"/>
      <c r="AB232" s="28"/>
      <c r="AC232" s="28"/>
      <c r="AD232" s="28"/>
      <c r="AE232" s="28"/>
      <c r="AF232" s="32">
        <v>0.18</v>
      </c>
      <c r="AG232" s="28"/>
      <c r="AH232" s="35">
        <v>8</v>
      </c>
      <c r="AI232" s="28"/>
      <c r="AJ232" s="28"/>
      <c r="AK232" s="28"/>
      <c r="AL232" s="28"/>
      <c r="AM232" s="28"/>
      <c r="AN232" s="28"/>
      <c r="AO232" s="28"/>
      <c r="AP232" s="28"/>
      <c r="AQ232" s="32">
        <v>8</v>
      </c>
      <c r="AR232" s="28"/>
      <c r="AS232" s="28"/>
      <c r="AT232" s="28"/>
      <c r="AU232" s="28"/>
      <c r="AV232" s="28"/>
      <c r="AW232" s="32">
        <v>3.93</v>
      </c>
      <c r="AX232" s="28"/>
      <c r="AY232" s="28"/>
      <c r="AZ232" s="28"/>
      <c r="BA232" s="28"/>
      <c r="BB232" s="28">
        <f t="shared" si="7"/>
        <v>20.11</v>
      </c>
      <c r="BC232" s="28"/>
    </row>
    <row r="233" spans="1:55">
      <c r="A233" s="28">
        <v>231</v>
      </c>
      <c r="B233" s="29">
        <v>133144</v>
      </c>
      <c r="C233" s="28" t="s">
        <v>375</v>
      </c>
      <c r="D233" s="28"/>
      <c r="E233" s="28">
        <v>20241128</v>
      </c>
      <c r="F233" s="28"/>
      <c r="G233" s="29" t="s">
        <v>283</v>
      </c>
      <c r="H233" s="28" t="s">
        <v>291</v>
      </c>
      <c r="I233" s="28" t="s">
        <v>292</v>
      </c>
      <c r="J233" s="28" t="s">
        <v>54</v>
      </c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 t="b">
        <f t="shared" si="6"/>
        <v>1</v>
      </c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>
        <f t="shared" si="7"/>
        <v>0</v>
      </c>
      <c r="BC233" s="28"/>
    </row>
    <row r="234" spans="1:55">
      <c r="A234" s="28">
        <v>232</v>
      </c>
      <c r="B234" s="29">
        <v>133869</v>
      </c>
      <c r="C234" s="28" t="s">
        <v>387</v>
      </c>
      <c r="D234" s="28"/>
      <c r="E234" s="28">
        <v>20250219</v>
      </c>
      <c r="F234" s="28"/>
      <c r="G234" s="29" t="s">
        <v>283</v>
      </c>
      <c r="H234" s="28" t="s">
        <v>291</v>
      </c>
      <c r="I234" s="28" t="s">
        <v>292</v>
      </c>
      <c r="J234" s="28" t="s">
        <v>54</v>
      </c>
      <c r="K234" s="28"/>
      <c r="L234" s="28"/>
      <c r="M234" s="28"/>
      <c r="N234" s="28"/>
      <c r="O234" s="28">
        <v>16</v>
      </c>
      <c r="P234" s="28"/>
      <c r="Q234" s="28"/>
      <c r="R234" s="28"/>
      <c r="S234" s="28"/>
      <c r="T234" s="28"/>
      <c r="U234" s="28"/>
      <c r="V234" s="28"/>
      <c r="W234" s="28"/>
      <c r="X234" s="28"/>
      <c r="Y234" s="28" t="b">
        <f t="shared" si="6"/>
        <v>1</v>
      </c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33">
        <v>8</v>
      </c>
      <c r="BA234" s="33">
        <v>8</v>
      </c>
      <c r="BB234" s="28">
        <f t="shared" si="7"/>
        <v>16</v>
      </c>
      <c r="BC234" s="28"/>
    </row>
    <row r="235" spans="1:55">
      <c r="A235" s="28">
        <v>233</v>
      </c>
      <c r="B235" s="29">
        <v>134135</v>
      </c>
      <c r="C235" s="28" t="s">
        <v>391</v>
      </c>
      <c r="D235" s="28"/>
      <c r="E235" s="28">
        <v>20250317</v>
      </c>
      <c r="F235" s="28"/>
      <c r="G235" s="29" t="s">
        <v>283</v>
      </c>
      <c r="H235" s="28" t="s">
        <v>291</v>
      </c>
      <c r="I235" s="28" t="s">
        <v>292</v>
      </c>
      <c r="J235" s="28" t="s">
        <v>54</v>
      </c>
      <c r="K235" s="28">
        <v>8</v>
      </c>
      <c r="L235" s="28"/>
      <c r="M235" s="28">
        <v>12</v>
      </c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 t="b">
        <f t="shared" si="6"/>
        <v>1</v>
      </c>
      <c r="Z235" s="28"/>
      <c r="AA235" s="28"/>
      <c r="AB235" s="28"/>
      <c r="AC235" s="28"/>
      <c r="AD235" s="28"/>
      <c r="AE235" s="34">
        <v>8</v>
      </c>
      <c r="AF235" s="34">
        <v>4</v>
      </c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31">
        <v>8</v>
      </c>
      <c r="AZ235" s="28"/>
      <c r="BA235" s="28"/>
      <c r="BB235" s="28">
        <f t="shared" si="7"/>
        <v>20</v>
      </c>
      <c r="BC235" s="28"/>
    </row>
    <row r="236" spans="1:55">
      <c r="A236" s="28">
        <v>234</v>
      </c>
      <c r="B236" s="29">
        <v>134397</v>
      </c>
      <c r="C236" s="28" t="s">
        <v>392</v>
      </c>
      <c r="D236" s="28"/>
      <c r="E236" s="28">
        <v>20250423</v>
      </c>
      <c r="F236" s="28"/>
      <c r="G236" s="29" t="s">
        <v>283</v>
      </c>
      <c r="H236" s="28" t="s">
        <v>291</v>
      </c>
      <c r="I236" s="28" t="s">
        <v>292</v>
      </c>
      <c r="J236" s="28" t="s">
        <v>54</v>
      </c>
      <c r="K236" s="28">
        <v>8</v>
      </c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 t="b">
        <f t="shared" si="6"/>
        <v>1</v>
      </c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31">
        <v>8</v>
      </c>
      <c r="AS236" s="28"/>
      <c r="AT236" s="28"/>
      <c r="AU236" s="28"/>
      <c r="AV236" s="28"/>
      <c r="AW236" s="28"/>
      <c r="AX236" s="28"/>
      <c r="AY236" s="28"/>
      <c r="AZ236" s="28"/>
      <c r="BA236" s="28"/>
      <c r="BB236" s="28">
        <f t="shared" si="7"/>
        <v>8</v>
      </c>
      <c r="BC236" s="28"/>
    </row>
    <row r="237" spans="1:55">
      <c r="A237" s="28">
        <v>235</v>
      </c>
      <c r="B237" s="29">
        <v>134398</v>
      </c>
      <c r="C237" s="28" t="s">
        <v>393</v>
      </c>
      <c r="D237" s="28"/>
      <c r="E237" s="28">
        <v>20250423</v>
      </c>
      <c r="F237" s="28"/>
      <c r="G237" s="29" t="s">
        <v>283</v>
      </c>
      <c r="H237" s="28" t="s">
        <v>291</v>
      </c>
      <c r="I237" s="28" t="s">
        <v>292</v>
      </c>
      <c r="J237" s="28" t="s">
        <v>54</v>
      </c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 t="b">
        <f t="shared" si="6"/>
        <v>1</v>
      </c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>
        <f t="shared" si="7"/>
        <v>0</v>
      </c>
      <c r="BC237" s="28"/>
    </row>
    <row r="238" spans="1:55">
      <c r="A238" s="28">
        <v>236</v>
      </c>
      <c r="B238" s="29">
        <v>135357</v>
      </c>
      <c r="C238" s="28" t="s">
        <v>404</v>
      </c>
      <c r="D238" s="28"/>
      <c r="E238" s="28">
        <v>20250826</v>
      </c>
      <c r="F238" s="28"/>
      <c r="G238" s="29" t="s">
        <v>283</v>
      </c>
      <c r="H238" s="28" t="s">
        <v>291</v>
      </c>
      <c r="I238" s="28" t="s">
        <v>292</v>
      </c>
      <c r="J238" s="28" t="s">
        <v>54</v>
      </c>
      <c r="K238" s="28">
        <v>4</v>
      </c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 t="b">
        <f t="shared" si="6"/>
        <v>1</v>
      </c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31">
        <v>4</v>
      </c>
      <c r="BB238" s="28">
        <f t="shared" si="7"/>
        <v>4</v>
      </c>
      <c r="BC238" s="28"/>
    </row>
    <row r="239" spans="1:55">
      <c r="A239" s="28">
        <v>237</v>
      </c>
      <c r="B239" s="29">
        <v>108973</v>
      </c>
      <c r="C239" s="28" t="s">
        <v>310</v>
      </c>
      <c r="D239" s="28"/>
      <c r="E239" s="28">
        <v>20170606</v>
      </c>
      <c r="F239" s="28"/>
      <c r="G239" s="29" t="s">
        <v>283</v>
      </c>
      <c r="H239" s="28" t="s">
        <v>311</v>
      </c>
      <c r="I239" s="28" t="s">
        <v>312</v>
      </c>
      <c r="J239" s="28" t="s">
        <v>58</v>
      </c>
      <c r="K239" s="28">
        <v>4</v>
      </c>
      <c r="L239" s="28">
        <v>0.5</v>
      </c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 t="b">
        <f t="shared" si="6"/>
        <v>1</v>
      </c>
      <c r="Z239" s="28"/>
      <c r="AA239" s="28"/>
      <c r="AB239" s="28"/>
      <c r="AC239" s="28"/>
      <c r="AD239" s="28"/>
      <c r="AE239" s="28"/>
      <c r="AF239" s="31">
        <v>4</v>
      </c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32">
        <v>0.5</v>
      </c>
      <c r="AY239" s="28"/>
      <c r="AZ239" s="28"/>
      <c r="BA239" s="28"/>
      <c r="BB239" s="28">
        <f t="shared" si="7"/>
        <v>4.5</v>
      </c>
      <c r="BC239" s="28"/>
    </row>
    <row r="240" spans="1:55">
      <c r="A240" s="28">
        <v>238</v>
      </c>
      <c r="B240" s="29">
        <v>126333</v>
      </c>
      <c r="C240" s="28" t="s">
        <v>336</v>
      </c>
      <c r="D240" s="28"/>
      <c r="E240" s="28">
        <v>20220421</v>
      </c>
      <c r="F240" s="28"/>
      <c r="G240" s="29" t="s">
        <v>283</v>
      </c>
      <c r="H240" s="28" t="s">
        <v>311</v>
      </c>
      <c r="I240" s="28" t="s">
        <v>312</v>
      </c>
      <c r="J240" s="28" t="s">
        <v>58</v>
      </c>
      <c r="K240" s="28">
        <v>5.0500000000000007</v>
      </c>
      <c r="L240" s="28"/>
      <c r="M240" s="28"/>
      <c r="N240" s="28"/>
      <c r="O240" s="28">
        <v>8</v>
      </c>
      <c r="P240" s="28"/>
      <c r="Q240" s="28"/>
      <c r="R240" s="28"/>
      <c r="S240" s="28"/>
      <c r="T240" s="28"/>
      <c r="U240" s="28"/>
      <c r="V240" s="28"/>
      <c r="W240" s="28"/>
      <c r="X240" s="28"/>
      <c r="Y240" s="28" t="b">
        <f t="shared" si="6"/>
        <v>1</v>
      </c>
      <c r="Z240" s="28"/>
      <c r="AA240" s="28"/>
      <c r="AB240" s="28"/>
      <c r="AC240" s="28"/>
      <c r="AD240" s="31">
        <v>0.65</v>
      </c>
      <c r="AE240" s="31">
        <v>4.4000000000000004</v>
      </c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33">
        <v>8</v>
      </c>
      <c r="AS240" s="28"/>
      <c r="AT240" s="28"/>
      <c r="AU240" s="28"/>
      <c r="AV240" s="28"/>
      <c r="AW240" s="28"/>
      <c r="AX240" s="28"/>
      <c r="AY240" s="28"/>
      <c r="AZ240" s="28"/>
      <c r="BA240" s="28"/>
      <c r="BB240" s="28">
        <f t="shared" si="7"/>
        <v>13.05</v>
      </c>
      <c r="BC240" s="28"/>
    </row>
    <row r="241" spans="1:55">
      <c r="A241" s="28">
        <v>239</v>
      </c>
      <c r="B241" s="29">
        <v>127781</v>
      </c>
      <c r="C241" s="28" t="s">
        <v>343</v>
      </c>
      <c r="D241" s="28"/>
      <c r="E241" s="28">
        <v>20220621</v>
      </c>
      <c r="F241" s="28"/>
      <c r="G241" s="29" t="s">
        <v>283</v>
      </c>
      <c r="H241" s="28" t="s">
        <v>311</v>
      </c>
      <c r="I241" s="28" t="s">
        <v>312</v>
      </c>
      <c r="J241" s="28" t="s">
        <v>58</v>
      </c>
      <c r="K241" s="28"/>
      <c r="L241" s="28"/>
      <c r="M241" s="28"/>
      <c r="N241" s="28"/>
      <c r="O241" s="28">
        <v>8</v>
      </c>
      <c r="P241" s="28"/>
      <c r="Q241" s="28"/>
      <c r="R241" s="28"/>
      <c r="S241" s="28"/>
      <c r="T241" s="28"/>
      <c r="U241" s="28"/>
      <c r="V241" s="28"/>
      <c r="W241" s="28"/>
      <c r="X241" s="28"/>
      <c r="Y241" s="28" t="b">
        <f t="shared" si="6"/>
        <v>1</v>
      </c>
      <c r="Z241" s="28"/>
      <c r="AA241" s="28"/>
      <c r="AB241" s="28"/>
      <c r="AC241" s="28"/>
      <c r="AD241" s="28"/>
      <c r="AE241" s="33">
        <v>8</v>
      </c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>
        <f t="shared" si="7"/>
        <v>8</v>
      </c>
      <c r="BC241" s="28"/>
    </row>
    <row r="242" spans="1:55">
      <c r="A242" s="28">
        <v>240</v>
      </c>
      <c r="B242" s="29">
        <v>130794</v>
      </c>
      <c r="C242" s="28" t="s">
        <v>357</v>
      </c>
      <c r="D242" s="28"/>
      <c r="E242" s="28">
        <v>20240502</v>
      </c>
      <c r="F242" s="28"/>
      <c r="G242" s="29" t="s">
        <v>283</v>
      </c>
      <c r="H242" s="28" t="s">
        <v>311</v>
      </c>
      <c r="I242" s="28" t="s">
        <v>312</v>
      </c>
      <c r="J242" s="28" t="s">
        <v>58</v>
      </c>
      <c r="K242" s="28"/>
      <c r="L242" s="28">
        <v>0.21</v>
      </c>
      <c r="M242" s="28">
        <v>16</v>
      </c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 t="b">
        <f t="shared" si="6"/>
        <v>1</v>
      </c>
      <c r="Z242" s="28"/>
      <c r="AA242" s="28"/>
      <c r="AB242" s="28"/>
      <c r="AC242" s="28"/>
      <c r="AD242" s="34">
        <v>8</v>
      </c>
      <c r="AE242" s="34">
        <v>8</v>
      </c>
      <c r="AF242" s="28"/>
      <c r="AG242" s="28"/>
      <c r="AH242" s="28"/>
      <c r="AI242" s="32">
        <v>0.21</v>
      </c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>
        <f t="shared" si="7"/>
        <v>16.21</v>
      </c>
      <c r="BC242" s="28"/>
    </row>
    <row r="243" spans="1:55">
      <c r="A243" s="28">
        <v>241</v>
      </c>
      <c r="B243" s="29">
        <v>130957</v>
      </c>
      <c r="C243" s="28" t="s">
        <v>359</v>
      </c>
      <c r="D243" s="28"/>
      <c r="E243" s="28">
        <v>20240520</v>
      </c>
      <c r="F243" s="28"/>
      <c r="G243" s="29" t="s">
        <v>283</v>
      </c>
      <c r="H243" s="28" t="s">
        <v>311</v>
      </c>
      <c r="I243" s="28" t="s">
        <v>312</v>
      </c>
      <c r="J243" s="28" t="s">
        <v>54</v>
      </c>
      <c r="K243" s="28"/>
      <c r="L243" s="28">
        <v>0.65</v>
      </c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 t="b">
        <f t="shared" si="6"/>
        <v>1</v>
      </c>
      <c r="Z243" s="28"/>
      <c r="AA243" s="28"/>
      <c r="AB243" s="28"/>
      <c r="AC243" s="28"/>
      <c r="AD243" s="32">
        <v>0.65</v>
      </c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>
        <f t="shared" si="7"/>
        <v>0.65</v>
      </c>
      <c r="BC243" s="28"/>
    </row>
    <row r="244" spans="1:55">
      <c r="A244" s="28">
        <v>242</v>
      </c>
      <c r="B244" s="29">
        <v>130958</v>
      </c>
      <c r="C244" s="28" t="s">
        <v>360</v>
      </c>
      <c r="D244" s="28"/>
      <c r="E244" s="28">
        <v>20240520</v>
      </c>
      <c r="F244" s="28"/>
      <c r="G244" s="29" t="s">
        <v>283</v>
      </c>
      <c r="H244" s="28" t="s">
        <v>311</v>
      </c>
      <c r="I244" s="28" t="s">
        <v>312</v>
      </c>
      <c r="J244" s="28" t="s">
        <v>54</v>
      </c>
      <c r="K244" s="28">
        <v>1.1499999999999999</v>
      </c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 t="b">
        <f t="shared" si="6"/>
        <v>1</v>
      </c>
      <c r="Z244" s="28"/>
      <c r="AA244" s="28"/>
      <c r="AB244" s="28"/>
      <c r="AC244" s="28"/>
      <c r="AD244" s="31">
        <v>0.65</v>
      </c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31">
        <v>0.5</v>
      </c>
      <c r="AY244" s="28"/>
      <c r="AZ244" s="28"/>
      <c r="BA244" s="28"/>
      <c r="BB244" s="28">
        <f t="shared" si="7"/>
        <v>1.1499999999999999</v>
      </c>
      <c r="BC244" s="28"/>
    </row>
    <row r="245" spans="1:55">
      <c r="A245" s="28">
        <v>243</v>
      </c>
      <c r="B245" s="29">
        <v>131005</v>
      </c>
      <c r="C245" s="28" t="s">
        <v>361</v>
      </c>
      <c r="D245" s="28"/>
      <c r="E245" s="28">
        <v>20240530</v>
      </c>
      <c r="F245" s="28"/>
      <c r="G245" s="29" t="s">
        <v>283</v>
      </c>
      <c r="H245" s="28" t="s">
        <v>311</v>
      </c>
      <c r="I245" s="28" t="s">
        <v>312</v>
      </c>
      <c r="J245" s="28" t="s">
        <v>58</v>
      </c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 t="b">
        <f t="shared" si="6"/>
        <v>1</v>
      </c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>
        <f t="shared" si="7"/>
        <v>0</v>
      </c>
      <c r="BC245" s="28"/>
    </row>
    <row r="246" spans="1:55">
      <c r="A246" s="28">
        <v>244</v>
      </c>
      <c r="B246" s="29">
        <v>132846</v>
      </c>
      <c r="C246" s="28" t="s">
        <v>371</v>
      </c>
      <c r="D246" s="28"/>
      <c r="E246" s="28">
        <v>20241106</v>
      </c>
      <c r="F246" s="28"/>
      <c r="G246" s="29" t="s">
        <v>283</v>
      </c>
      <c r="H246" s="28" t="s">
        <v>311</v>
      </c>
      <c r="I246" s="28" t="s">
        <v>312</v>
      </c>
      <c r="J246" s="28" t="s">
        <v>58</v>
      </c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 t="b">
        <f t="shared" si="6"/>
        <v>1</v>
      </c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>
        <f t="shared" si="7"/>
        <v>0</v>
      </c>
      <c r="BC246" s="28"/>
    </row>
    <row r="247" spans="1:55">
      <c r="A247" s="28">
        <v>245</v>
      </c>
      <c r="B247" s="29">
        <v>133787</v>
      </c>
      <c r="C247" s="28" t="s">
        <v>385</v>
      </c>
      <c r="D247" s="28"/>
      <c r="E247" s="28">
        <v>20250213</v>
      </c>
      <c r="F247" s="28"/>
      <c r="G247" s="29" t="s">
        <v>283</v>
      </c>
      <c r="H247" s="28" t="s">
        <v>311</v>
      </c>
      <c r="I247" s="28" t="s">
        <v>312</v>
      </c>
      <c r="J247" s="28" t="s">
        <v>58</v>
      </c>
      <c r="K247" s="28"/>
      <c r="L247" s="28">
        <v>4</v>
      </c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 t="b">
        <f t="shared" si="6"/>
        <v>1</v>
      </c>
      <c r="Z247" s="28"/>
      <c r="AA247" s="28"/>
      <c r="AB247" s="28"/>
      <c r="AC247" s="28"/>
      <c r="AD247" s="28"/>
      <c r="AE247" s="28"/>
      <c r="AF247" s="32">
        <v>4</v>
      </c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>
        <f t="shared" si="7"/>
        <v>4</v>
      </c>
      <c r="BC247" s="28"/>
    </row>
    <row r="248" spans="1:55">
      <c r="A248" s="28">
        <v>246</v>
      </c>
      <c r="B248" s="29">
        <v>133825</v>
      </c>
      <c r="C248" s="28" t="s">
        <v>386</v>
      </c>
      <c r="D248" s="28"/>
      <c r="E248" s="28">
        <v>20250217</v>
      </c>
      <c r="F248" s="28"/>
      <c r="G248" s="29" t="s">
        <v>283</v>
      </c>
      <c r="H248" s="28" t="s">
        <v>311</v>
      </c>
      <c r="I248" s="28" t="s">
        <v>312</v>
      </c>
      <c r="J248" s="28" t="s">
        <v>58</v>
      </c>
      <c r="K248" s="28">
        <v>8</v>
      </c>
      <c r="L248" s="28">
        <v>0.5</v>
      </c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 t="b">
        <f t="shared" si="6"/>
        <v>1</v>
      </c>
      <c r="Z248" s="28"/>
      <c r="AA248" s="31">
        <v>8</v>
      </c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32">
        <v>0.5</v>
      </c>
      <c r="AY248" s="28"/>
      <c r="AZ248" s="28"/>
      <c r="BA248" s="28"/>
      <c r="BB248" s="28">
        <f t="shared" si="7"/>
        <v>8.5</v>
      </c>
      <c r="BC248" s="28"/>
    </row>
    <row r="249" spans="1:55">
      <c r="A249" s="28">
        <v>247</v>
      </c>
      <c r="B249" s="29">
        <v>134926</v>
      </c>
      <c r="C249" s="28" t="s">
        <v>396</v>
      </c>
      <c r="D249" s="28"/>
      <c r="E249" s="28">
        <v>20250515</v>
      </c>
      <c r="F249" s="28"/>
      <c r="G249" s="29" t="s">
        <v>283</v>
      </c>
      <c r="H249" s="28" t="s">
        <v>311</v>
      </c>
      <c r="I249" s="28" t="s">
        <v>312</v>
      </c>
      <c r="J249" s="28" t="s">
        <v>58</v>
      </c>
      <c r="K249" s="28"/>
      <c r="L249" s="28">
        <v>0.92999999999999994</v>
      </c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 t="b">
        <f t="shared" si="6"/>
        <v>1</v>
      </c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32">
        <v>0.18</v>
      </c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32">
        <v>0.5</v>
      </c>
      <c r="AY249" s="32">
        <v>0.25</v>
      </c>
      <c r="AZ249" s="28"/>
      <c r="BA249" s="28"/>
      <c r="BB249" s="28">
        <f t="shared" si="7"/>
        <v>0.92999999999999994</v>
      </c>
      <c r="BC249" s="28"/>
    </row>
    <row r="250" spans="1:55">
      <c r="A250" s="28">
        <v>248</v>
      </c>
      <c r="B250" s="29">
        <v>135505</v>
      </c>
      <c r="C250" s="28" t="s">
        <v>407</v>
      </c>
      <c r="D250" s="28"/>
      <c r="E250" s="28">
        <v>20250923</v>
      </c>
      <c r="F250" s="28"/>
      <c r="G250" s="29" t="s">
        <v>283</v>
      </c>
      <c r="H250" s="28" t="s">
        <v>311</v>
      </c>
      <c r="I250" s="28" t="s">
        <v>312</v>
      </c>
      <c r="J250" s="28" t="s">
        <v>54</v>
      </c>
      <c r="K250" s="28">
        <v>4</v>
      </c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 t="b">
        <f t="shared" si="6"/>
        <v>1</v>
      </c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31">
        <v>4</v>
      </c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>
        <f t="shared" si="7"/>
        <v>4</v>
      </c>
      <c r="BC250" s="28"/>
    </row>
    <row r="251" spans="1:55">
      <c r="A251" s="28">
        <v>249</v>
      </c>
      <c r="B251" s="29">
        <v>135550</v>
      </c>
      <c r="C251" s="28" t="s">
        <v>409</v>
      </c>
      <c r="D251" s="28"/>
      <c r="E251" s="28">
        <v>20251008</v>
      </c>
      <c r="F251" s="28"/>
      <c r="G251" s="29" t="s">
        <v>283</v>
      </c>
      <c r="H251" s="28" t="s">
        <v>311</v>
      </c>
      <c r="I251" s="28" t="s">
        <v>312</v>
      </c>
      <c r="J251" s="28" t="s">
        <v>58</v>
      </c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 t="b">
        <f t="shared" si="6"/>
        <v>1</v>
      </c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>
        <f t="shared" si="7"/>
        <v>0</v>
      </c>
      <c r="BC251" s="28"/>
    </row>
    <row r="252" spans="1:55">
      <c r="A252" s="28">
        <v>250</v>
      </c>
      <c r="B252" s="29">
        <v>135551</v>
      </c>
      <c r="C252" s="28" t="s">
        <v>410</v>
      </c>
      <c r="D252" s="28"/>
      <c r="E252" s="28">
        <v>20251008</v>
      </c>
      <c r="F252" s="28"/>
      <c r="G252" s="29" t="s">
        <v>283</v>
      </c>
      <c r="H252" s="28" t="s">
        <v>311</v>
      </c>
      <c r="I252" s="28" t="s">
        <v>312</v>
      </c>
      <c r="J252" s="28" t="s">
        <v>54</v>
      </c>
      <c r="K252" s="28"/>
      <c r="L252" s="28">
        <v>6.26</v>
      </c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 t="b">
        <f t="shared" si="6"/>
        <v>1</v>
      </c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32">
        <v>1.76</v>
      </c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32">
        <v>4.5</v>
      </c>
      <c r="AW252" s="28"/>
      <c r="AX252" s="28"/>
      <c r="AY252" s="28"/>
      <c r="AZ252" s="28"/>
      <c r="BA252" s="28"/>
      <c r="BB252" s="28">
        <f t="shared" si="7"/>
        <v>6.26</v>
      </c>
      <c r="BC252" s="28"/>
    </row>
    <row r="253" spans="1:55">
      <c r="A253" s="28">
        <v>251</v>
      </c>
      <c r="B253" s="29">
        <v>135868</v>
      </c>
      <c r="C253" s="28" t="s">
        <v>415</v>
      </c>
      <c r="D253" s="28"/>
      <c r="E253" s="28">
        <v>20251215</v>
      </c>
      <c r="F253" s="28"/>
      <c r="G253" s="29" t="s">
        <v>283</v>
      </c>
      <c r="H253" s="28" t="s">
        <v>311</v>
      </c>
      <c r="I253" s="28" t="s">
        <v>312</v>
      </c>
      <c r="J253" s="28" t="s">
        <v>54</v>
      </c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 t="b">
        <f t="shared" si="6"/>
        <v>1</v>
      </c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>
        <f t="shared" si="7"/>
        <v>0</v>
      </c>
      <c r="BC253" s="28"/>
    </row>
    <row r="254" spans="1:55">
      <c r="A254" s="28">
        <v>252</v>
      </c>
      <c r="B254" s="29">
        <v>135913</v>
      </c>
      <c r="C254" s="28" t="s">
        <v>346</v>
      </c>
      <c r="D254" s="28"/>
      <c r="E254" s="28">
        <v>20251222</v>
      </c>
      <c r="F254" s="28"/>
      <c r="G254" s="29" t="s">
        <v>283</v>
      </c>
      <c r="H254" s="28" t="s">
        <v>311</v>
      </c>
      <c r="I254" s="28" t="s">
        <v>312</v>
      </c>
      <c r="J254" s="28" t="s">
        <v>54</v>
      </c>
      <c r="K254" s="28">
        <v>8</v>
      </c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 t="b">
        <f t="shared" si="6"/>
        <v>1</v>
      </c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31">
        <v>8</v>
      </c>
      <c r="AX254" s="28"/>
      <c r="AY254" s="28"/>
      <c r="AZ254" s="28"/>
      <c r="BA254" s="28"/>
      <c r="BB254" s="28">
        <f t="shared" si="7"/>
        <v>8</v>
      </c>
      <c r="BC254" s="28"/>
    </row>
    <row r="255" spans="1:55">
      <c r="A255" s="28">
        <v>253</v>
      </c>
      <c r="B255" s="29">
        <v>135959</v>
      </c>
      <c r="C255" s="28" t="s">
        <v>368</v>
      </c>
      <c r="D255" s="28"/>
      <c r="E255" s="28">
        <v>20260107</v>
      </c>
      <c r="F255" s="28"/>
      <c r="G255" s="29" t="s">
        <v>283</v>
      </c>
      <c r="H255" s="28" t="s">
        <v>311</v>
      </c>
      <c r="I255" s="28" t="s">
        <v>312</v>
      </c>
      <c r="J255" s="28" t="s">
        <v>58</v>
      </c>
      <c r="K255" s="28"/>
      <c r="L255" s="28">
        <v>0.80999999999999994</v>
      </c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 t="b">
        <f t="shared" si="6"/>
        <v>1</v>
      </c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32">
        <v>0.23</v>
      </c>
      <c r="AX255" s="28"/>
      <c r="AY255" s="28"/>
      <c r="AZ255" s="32">
        <v>0.57999999999999996</v>
      </c>
      <c r="BA255" s="28"/>
      <c r="BB255" s="28">
        <f t="shared" si="7"/>
        <v>0.80999999999999994</v>
      </c>
      <c r="BC255" s="28"/>
    </row>
    <row r="256" spans="1:55">
      <c r="A256" s="28">
        <v>254</v>
      </c>
      <c r="B256" s="29">
        <v>136126</v>
      </c>
      <c r="C256" s="28" t="s">
        <v>429</v>
      </c>
      <c r="D256" s="28"/>
      <c r="E256" s="28">
        <v>20260203</v>
      </c>
      <c r="F256" s="28"/>
      <c r="G256" s="29" t="s">
        <v>283</v>
      </c>
      <c r="H256" s="28" t="s">
        <v>311</v>
      </c>
      <c r="I256" s="28" t="s">
        <v>312</v>
      </c>
      <c r="J256" s="28" t="s">
        <v>54</v>
      </c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 t="b">
        <f t="shared" si="6"/>
        <v>1</v>
      </c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>
        <f t="shared" si="7"/>
        <v>0</v>
      </c>
      <c r="BC256" s="28"/>
    </row>
    <row r="257" spans="1:55">
      <c r="A257" s="28">
        <v>255</v>
      </c>
      <c r="B257" s="29">
        <v>101346</v>
      </c>
      <c r="C257" s="28" t="s">
        <v>294</v>
      </c>
      <c r="D257" s="28"/>
      <c r="E257" s="28">
        <v>20151201</v>
      </c>
      <c r="F257" s="28"/>
      <c r="G257" s="29" t="s">
        <v>283</v>
      </c>
      <c r="H257" s="28" t="s">
        <v>295</v>
      </c>
      <c r="I257" s="28" t="s">
        <v>22</v>
      </c>
      <c r="J257" s="28" t="s">
        <v>54</v>
      </c>
      <c r="K257" s="28"/>
      <c r="L257" s="28">
        <v>0.23</v>
      </c>
      <c r="M257" s="28"/>
      <c r="N257" s="28"/>
      <c r="O257" s="28">
        <v>8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 t="b">
        <f t="shared" si="6"/>
        <v>1</v>
      </c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32">
        <v>0.23</v>
      </c>
      <c r="AT257" s="28"/>
      <c r="AU257" s="28"/>
      <c r="AV257" s="28"/>
      <c r="AW257" s="28"/>
      <c r="AX257" s="28"/>
      <c r="AY257" s="28"/>
      <c r="AZ257" s="33">
        <v>8</v>
      </c>
      <c r="BA257" s="28"/>
      <c r="BB257" s="28">
        <f t="shared" si="7"/>
        <v>8.23</v>
      </c>
      <c r="BC257" s="28"/>
    </row>
    <row r="258" spans="1:55">
      <c r="A258" s="28">
        <v>256</v>
      </c>
      <c r="B258" s="29">
        <v>103928</v>
      </c>
      <c r="C258" s="28" t="s">
        <v>298</v>
      </c>
      <c r="D258" s="28"/>
      <c r="E258" s="28">
        <v>20160825</v>
      </c>
      <c r="F258" s="28"/>
      <c r="G258" s="29" t="s">
        <v>283</v>
      </c>
      <c r="H258" s="28" t="s">
        <v>295</v>
      </c>
      <c r="I258" s="28" t="s">
        <v>22</v>
      </c>
      <c r="J258" s="28" t="s">
        <v>54</v>
      </c>
      <c r="K258" s="28"/>
      <c r="L258" s="28">
        <v>4.6099999999999994</v>
      </c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 t="b">
        <f t="shared" si="6"/>
        <v>1</v>
      </c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32">
        <v>0.65</v>
      </c>
      <c r="AK258" s="28"/>
      <c r="AL258" s="28"/>
      <c r="AM258" s="28"/>
      <c r="AN258" s="28"/>
      <c r="AO258" s="28"/>
      <c r="AP258" s="28"/>
      <c r="AQ258" s="32">
        <v>1.25</v>
      </c>
      <c r="AR258" s="32">
        <v>0.26</v>
      </c>
      <c r="AS258" s="32">
        <v>0.3</v>
      </c>
      <c r="AT258" s="32">
        <v>0.35</v>
      </c>
      <c r="AU258" s="28"/>
      <c r="AV258" s="32">
        <v>0.65</v>
      </c>
      <c r="AW258" s="32">
        <v>0.3</v>
      </c>
      <c r="AX258" s="32">
        <v>0.31</v>
      </c>
      <c r="AY258" s="32">
        <v>0.33</v>
      </c>
      <c r="AZ258" s="28"/>
      <c r="BA258" s="32">
        <v>0.21</v>
      </c>
      <c r="BB258" s="28">
        <f t="shared" si="7"/>
        <v>4.6099999999999994</v>
      </c>
      <c r="BC258" s="28"/>
    </row>
    <row r="259" spans="1:55">
      <c r="A259" s="28">
        <v>257</v>
      </c>
      <c r="B259" s="29">
        <v>103964</v>
      </c>
      <c r="C259" s="28" t="s">
        <v>299</v>
      </c>
      <c r="D259" s="28"/>
      <c r="E259" s="28">
        <v>20160825</v>
      </c>
      <c r="F259" s="28"/>
      <c r="G259" s="29" t="s">
        <v>283</v>
      </c>
      <c r="H259" s="28" t="s">
        <v>295</v>
      </c>
      <c r="I259" s="28" t="s">
        <v>22</v>
      </c>
      <c r="J259" s="28" t="s">
        <v>54</v>
      </c>
      <c r="K259" s="28"/>
      <c r="L259" s="28">
        <v>4</v>
      </c>
      <c r="M259" s="28"/>
      <c r="N259" s="28"/>
      <c r="O259" s="28"/>
      <c r="P259" s="28"/>
      <c r="Q259" s="28"/>
      <c r="R259" s="28"/>
      <c r="S259" s="28">
        <v>8</v>
      </c>
      <c r="T259" s="28"/>
      <c r="U259" s="28"/>
      <c r="V259" s="28"/>
      <c r="W259" s="28"/>
      <c r="X259" s="28"/>
      <c r="Y259" s="28" t="b">
        <f t="shared" ref="Y259:Y322" si="8">SUM(K259:X259)=SUM(Z259:BA259)</f>
        <v>1</v>
      </c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32">
        <v>4</v>
      </c>
      <c r="AN259" s="28"/>
      <c r="AO259" s="28"/>
      <c r="AP259" s="28"/>
      <c r="AQ259" s="28"/>
      <c r="AR259" s="28"/>
      <c r="AS259" s="28"/>
      <c r="AT259" s="28"/>
      <c r="AU259" s="28"/>
      <c r="AV259" s="28"/>
      <c r="AW259" s="35">
        <v>8</v>
      </c>
      <c r="AX259" s="28"/>
      <c r="AY259" s="28"/>
      <c r="AZ259" s="28"/>
      <c r="BA259" s="28"/>
      <c r="BB259" s="28">
        <f t="shared" ref="BB259:BB322" si="9">SUM(Z259:BA259)</f>
        <v>12</v>
      </c>
      <c r="BC259" s="28"/>
    </row>
    <row r="260" spans="1:55">
      <c r="A260" s="28">
        <v>258</v>
      </c>
      <c r="B260" s="29">
        <v>108851</v>
      </c>
      <c r="C260" s="28" t="s">
        <v>309</v>
      </c>
      <c r="D260" s="28"/>
      <c r="E260" s="28">
        <v>20170525</v>
      </c>
      <c r="F260" s="28"/>
      <c r="G260" s="29" t="s">
        <v>283</v>
      </c>
      <c r="H260" s="28" t="s">
        <v>295</v>
      </c>
      <c r="I260" s="28" t="s">
        <v>22</v>
      </c>
      <c r="J260" s="28" t="s">
        <v>54</v>
      </c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 t="b">
        <f t="shared" si="8"/>
        <v>1</v>
      </c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>
        <f t="shared" si="9"/>
        <v>0</v>
      </c>
      <c r="BC260" s="28"/>
    </row>
    <row r="261" spans="1:55">
      <c r="A261" s="28">
        <v>259</v>
      </c>
      <c r="B261" s="29">
        <v>109016</v>
      </c>
      <c r="C261" s="28" t="s">
        <v>313</v>
      </c>
      <c r="D261" s="28"/>
      <c r="E261" s="28">
        <v>20170613</v>
      </c>
      <c r="F261" s="28"/>
      <c r="G261" s="29" t="s">
        <v>283</v>
      </c>
      <c r="H261" s="28" t="s">
        <v>295</v>
      </c>
      <c r="I261" s="28" t="s">
        <v>22</v>
      </c>
      <c r="J261" s="28" t="s">
        <v>58</v>
      </c>
      <c r="K261" s="28"/>
      <c r="L261" s="28">
        <v>26.189999999999998</v>
      </c>
      <c r="M261" s="28">
        <v>8</v>
      </c>
      <c r="N261" s="28"/>
      <c r="O261" s="28">
        <v>8</v>
      </c>
      <c r="P261" s="28"/>
      <c r="Q261" s="28"/>
      <c r="R261" s="28"/>
      <c r="S261" s="28"/>
      <c r="T261" s="28"/>
      <c r="U261" s="28"/>
      <c r="V261" s="28"/>
      <c r="W261" s="28"/>
      <c r="X261" s="28"/>
      <c r="Y261" s="28" t="b">
        <f t="shared" si="8"/>
        <v>1</v>
      </c>
      <c r="Z261" s="28"/>
      <c r="AA261" s="28"/>
      <c r="AB261" s="34">
        <v>8</v>
      </c>
      <c r="AC261" s="28"/>
      <c r="AD261" s="33">
        <v>8</v>
      </c>
      <c r="AE261" s="28"/>
      <c r="AF261" s="28"/>
      <c r="AG261" s="28"/>
      <c r="AH261" s="28"/>
      <c r="AI261" s="32">
        <v>8</v>
      </c>
      <c r="AJ261" s="28"/>
      <c r="AK261" s="28"/>
      <c r="AL261" s="28"/>
      <c r="AM261" s="32">
        <v>4</v>
      </c>
      <c r="AN261" s="28"/>
      <c r="AO261" s="28"/>
      <c r="AP261" s="28"/>
      <c r="AQ261" s="28"/>
      <c r="AR261" s="32">
        <v>1.91</v>
      </c>
      <c r="AS261" s="32">
        <v>0.28000000000000003</v>
      </c>
      <c r="AT261" s="28"/>
      <c r="AU261" s="28"/>
      <c r="AV261" s="28"/>
      <c r="AW261" s="32">
        <v>8</v>
      </c>
      <c r="AX261" s="28"/>
      <c r="AY261" s="28"/>
      <c r="AZ261" s="28"/>
      <c r="BA261" s="32">
        <v>4</v>
      </c>
      <c r="BB261" s="28">
        <f t="shared" si="9"/>
        <v>42.19</v>
      </c>
      <c r="BC261" s="28"/>
    </row>
    <row r="262" spans="1:55">
      <c r="A262" s="28">
        <v>260</v>
      </c>
      <c r="B262" s="29">
        <v>110450</v>
      </c>
      <c r="C262" s="28" t="s">
        <v>318</v>
      </c>
      <c r="D262" s="28"/>
      <c r="E262" s="28">
        <v>20180222</v>
      </c>
      <c r="F262" s="28"/>
      <c r="G262" s="29" t="s">
        <v>283</v>
      </c>
      <c r="H262" s="28" t="s">
        <v>295</v>
      </c>
      <c r="I262" s="28" t="s">
        <v>22</v>
      </c>
      <c r="J262" s="28" t="s">
        <v>58</v>
      </c>
      <c r="K262" s="28">
        <v>8</v>
      </c>
      <c r="L262" s="28">
        <v>8.93</v>
      </c>
      <c r="M262" s="28"/>
      <c r="N262" s="28">
        <v>16</v>
      </c>
      <c r="O262" s="28">
        <v>16</v>
      </c>
      <c r="P262" s="28"/>
      <c r="Q262" s="28"/>
      <c r="R262" s="28"/>
      <c r="S262" s="28"/>
      <c r="T262" s="28"/>
      <c r="U262" s="28"/>
      <c r="V262" s="28"/>
      <c r="W262" s="28"/>
      <c r="X262" s="28"/>
      <c r="Y262" s="28" t="b">
        <f t="shared" si="8"/>
        <v>1</v>
      </c>
      <c r="Z262" s="28"/>
      <c r="AA262" s="31">
        <v>8</v>
      </c>
      <c r="AB262" s="28"/>
      <c r="AC262" s="28"/>
      <c r="AD262" s="28"/>
      <c r="AE262" s="28"/>
      <c r="AF262" s="32">
        <v>0.33</v>
      </c>
      <c r="AG262" s="28"/>
      <c r="AH262" s="34">
        <v>8</v>
      </c>
      <c r="AI262" s="28"/>
      <c r="AJ262" s="28"/>
      <c r="AK262" s="28"/>
      <c r="AL262" s="28"/>
      <c r="AM262" s="28"/>
      <c r="AN262" s="28"/>
      <c r="AO262" s="28"/>
      <c r="AP262" s="28"/>
      <c r="AQ262" s="28"/>
      <c r="AR262" s="34">
        <v>8</v>
      </c>
      <c r="AS262" s="32">
        <v>0.23</v>
      </c>
      <c r="AT262" s="32">
        <v>0.25</v>
      </c>
      <c r="AU262" s="28"/>
      <c r="AV262" s="32">
        <v>1.26</v>
      </c>
      <c r="AW262" s="32">
        <v>1.46</v>
      </c>
      <c r="AX262" s="32">
        <v>1.4</v>
      </c>
      <c r="AY262" s="33">
        <v>8</v>
      </c>
      <c r="AZ262" s="33">
        <v>8</v>
      </c>
      <c r="BA262" s="32">
        <v>4</v>
      </c>
      <c r="BB262" s="28">
        <f t="shared" si="9"/>
        <v>48.93</v>
      </c>
      <c r="BC262" s="28"/>
    </row>
    <row r="263" spans="1:55">
      <c r="A263" s="28">
        <v>261</v>
      </c>
      <c r="B263" s="29">
        <v>117760</v>
      </c>
      <c r="C263" s="28" t="s">
        <v>323</v>
      </c>
      <c r="D263" s="28"/>
      <c r="E263" s="28">
        <v>20191022</v>
      </c>
      <c r="F263" s="28"/>
      <c r="G263" s="29" t="s">
        <v>283</v>
      </c>
      <c r="H263" s="28" t="s">
        <v>295</v>
      </c>
      <c r="I263" s="28" t="s">
        <v>22</v>
      </c>
      <c r="J263" s="28" t="s">
        <v>54</v>
      </c>
      <c r="K263" s="28">
        <v>4</v>
      </c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 t="b">
        <f t="shared" si="8"/>
        <v>1</v>
      </c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31">
        <v>4</v>
      </c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>
        <f t="shared" si="9"/>
        <v>4</v>
      </c>
      <c r="BC263" s="28"/>
    </row>
    <row r="264" spans="1:55">
      <c r="A264" s="28">
        <v>262</v>
      </c>
      <c r="B264" s="29">
        <v>117894</v>
      </c>
      <c r="C264" s="28" t="s">
        <v>324</v>
      </c>
      <c r="D264" s="28"/>
      <c r="E264" s="28">
        <v>20191022</v>
      </c>
      <c r="F264" s="28"/>
      <c r="G264" s="29" t="s">
        <v>283</v>
      </c>
      <c r="H264" s="28" t="s">
        <v>295</v>
      </c>
      <c r="I264" s="28" t="s">
        <v>22</v>
      </c>
      <c r="J264" s="28" t="s">
        <v>54</v>
      </c>
      <c r="K264" s="28"/>
      <c r="L264" s="28"/>
      <c r="M264" s="28">
        <v>8</v>
      </c>
      <c r="N264" s="28"/>
      <c r="O264" s="28">
        <v>16</v>
      </c>
      <c r="P264" s="28"/>
      <c r="Q264" s="28"/>
      <c r="R264" s="28"/>
      <c r="S264" s="28"/>
      <c r="T264" s="28"/>
      <c r="U264" s="28"/>
      <c r="V264" s="28"/>
      <c r="W264" s="28"/>
      <c r="X264" s="28"/>
      <c r="Y264" s="28" t="b">
        <f t="shared" si="8"/>
        <v>1</v>
      </c>
      <c r="Z264" s="28"/>
      <c r="AA264" s="28"/>
      <c r="AB264" s="28"/>
      <c r="AC264" s="28"/>
      <c r="AD264" s="28"/>
      <c r="AE264" s="28"/>
      <c r="AF264" s="28"/>
      <c r="AG264" s="28"/>
      <c r="AH264" s="33">
        <v>8</v>
      </c>
      <c r="AI264" s="34">
        <v>8</v>
      </c>
      <c r="AJ264" s="28"/>
      <c r="AK264" s="28"/>
      <c r="AL264" s="28"/>
      <c r="AM264" s="28"/>
      <c r="AN264" s="28"/>
      <c r="AO264" s="28"/>
      <c r="AP264" s="28"/>
      <c r="AQ264" s="33">
        <v>8</v>
      </c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>
        <f t="shared" si="9"/>
        <v>24</v>
      </c>
      <c r="BC264" s="28"/>
    </row>
    <row r="265" spans="1:55">
      <c r="A265" s="28">
        <v>263</v>
      </c>
      <c r="B265" s="29">
        <v>118195</v>
      </c>
      <c r="C265" s="28" t="s">
        <v>326</v>
      </c>
      <c r="D265" s="28"/>
      <c r="E265" s="28">
        <v>20191029</v>
      </c>
      <c r="F265" s="28"/>
      <c r="G265" s="29" t="s">
        <v>283</v>
      </c>
      <c r="H265" s="28" t="s">
        <v>295</v>
      </c>
      <c r="I265" s="28" t="s">
        <v>22</v>
      </c>
      <c r="J265" s="28" t="s">
        <v>54</v>
      </c>
      <c r="K265" s="28"/>
      <c r="L265" s="28">
        <v>8.4600000000000009</v>
      </c>
      <c r="M265" s="28">
        <v>32</v>
      </c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 t="b">
        <f t="shared" si="8"/>
        <v>1</v>
      </c>
      <c r="Z265" s="28"/>
      <c r="AA265" s="28"/>
      <c r="AB265" s="28"/>
      <c r="AC265" s="32">
        <v>8</v>
      </c>
      <c r="AD265" s="28"/>
      <c r="AE265" s="28"/>
      <c r="AF265" s="28"/>
      <c r="AG265" s="28"/>
      <c r="AH265" s="28"/>
      <c r="AI265" s="28"/>
      <c r="AJ265" s="28"/>
      <c r="AK265" s="28"/>
      <c r="AL265" s="28"/>
      <c r="AM265" s="32">
        <v>0.46</v>
      </c>
      <c r="AN265" s="28"/>
      <c r="AO265" s="28"/>
      <c r="AP265" s="28"/>
      <c r="AQ265" s="34">
        <v>8</v>
      </c>
      <c r="AR265" s="34">
        <v>8</v>
      </c>
      <c r="AS265" s="28"/>
      <c r="AT265" s="28"/>
      <c r="AU265" s="28"/>
      <c r="AV265" s="28"/>
      <c r="AW265" s="34">
        <v>8</v>
      </c>
      <c r="AX265" s="34">
        <v>8</v>
      </c>
      <c r="AY265" s="28"/>
      <c r="AZ265" s="28"/>
      <c r="BA265" s="28"/>
      <c r="BB265" s="28">
        <f t="shared" si="9"/>
        <v>40.46</v>
      </c>
      <c r="BC265" s="28"/>
    </row>
    <row r="266" spans="1:55">
      <c r="A266" s="28">
        <v>264</v>
      </c>
      <c r="B266" s="29">
        <v>118835</v>
      </c>
      <c r="C266" s="28" t="s">
        <v>328</v>
      </c>
      <c r="D266" s="28"/>
      <c r="E266" s="28">
        <v>20191210</v>
      </c>
      <c r="F266" s="28"/>
      <c r="G266" s="29" t="s">
        <v>283</v>
      </c>
      <c r="H266" s="28" t="s">
        <v>295</v>
      </c>
      <c r="I266" s="28" t="s">
        <v>22</v>
      </c>
      <c r="J266" s="28" t="s">
        <v>58</v>
      </c>
      <c r="K266" s="28"/>
      <c r="L266" s="28">
        <v>6.3999999999999995</v>
      </c>
      <c r="M266" s="28"/>
      <c r="N266" s="28"/>
      <c r="O266" s="28">
        <v>16</v>
      </c>
      <c r="P266" s="28"/>
      <c r="Q266" s="28"/>
      <c r="R266" s="28"/>
      <c r="S266" s="28"/>
      <c r="T266" s="28"/>
      <c r="U266" s="28"/>
      <c r="V266" s="28"/>
      <c r="W266" s="28"/>
      <c r="X266" s="28"/>
      <c r="Y266" s="28" t="b">
        <f t="shared" si="8"/>
        <v>1</v>
      </c>
      <c r="Z266" s="28"/>
      <c r="AA266" s="32">
        <v>0.23</v>
      </c>
      <c r="AB266" s="32">
        <v>0.38</v>
      </c>
      <c r="AC266" s="28"/>
      <c r="AD266" s="32">
        <v>0.57999999999999996</v>
      </c>
      <c r="AE266" s="28"/>
      <c r="AF266" s="32">
        <v>0.33</v>
      </c>
      <c r="AG266" s="28"/>
      <c r="AH266" s="32">
        <v>0.55000000000000004</v>
      </c>
      <c r="AI266" s="33">
        <v>8</v>
      </c>
      <c r="AJ266" s="32">
        <v>0.61</v>
      </c>
      <c r="AK266" s="28"/>
      <c r="AL266" s="28"/>
      <c r="AM266" s="32">
        <v>0.65</v>
      </c>
      <c r="AN266" s="28"/>
      <c r="AO266" s="28"/>
      <c r="AP266" s="28"/>
      <c r="AQ266" s="32">
        <v>0.55000000000000004</v>
      </c>
      <c r="AR266" s="32">
        <v>0.73</v>
      </c>
      <c r="AS266" s="33">
        <v>8</v>
      </c>
      <c r="AT266" s="32">
        <v>0.25</v>
      </c>
      <c r="AU266" s="28"/>
      <c r="AV266" s="32">
        <v>0.28000000000000003</v>
      </c>
      <c r="AW266" s="32">
        <v>0.46</v>
      </c>
      <c r="AX266" s="28"/>
      <c r="AY266" s="28"/>
      <c r="AZ266" s="32">
        <v>0.35</v>
      </c>
      <c r="BA266" s="32">
        <v>0.45</v>
      </c>
      <c r="BB266" s="28">
        <f t="shared" si="9"/>
        <v>22.400000000000002</v>
      </c>
      <c r="BC266" s="28"/>
    </row>
    <row r="267" spans="1:55">
      <c r="A267" s="28">
        <v>265</v>
      </c>
      <c r="B267" s="29">
        <v>126432</v>
      </c>
      <c r="C267" s="28" t="s">
        <v>337</v>
      </c>
      <c r="D267" s="28"/>
      <c r="E267" s="28">
        <v>20220421</v>
      </c>
      <c r="F267" s="28"/>
      <c r="G267" s="29" t="s">
        <v>283</v>
      </c>
      <c r="H267" s="28" t="s">
        <v>295</v>
      </c>
      <c r="I267" s="28" t="s">
        <v>22</v>
      </c>
      <c r="J267" s="28" t="s">
        <v>54</v>
      </c>
      <c r="K267" s="28"/>
      <c r="L267" s="28"/>
      <c r="M267" s="28"/>
      <c r="N267" s="28"/>
      <c r="O267" s="28">
        <v>8</v>
      </c>
      <c r="P267" s="28"/>
      <c r="Q267" s="28"/>
      <c r="R267" s="28"/>
      <c r="S267" s="28"/>
      <c r="T267" s="28"/>
      <c r="U267" s="28"/>
      <c r="V267" s="28"/>
      <c r="W267" s="28"/>
      <c r="X267" s="28"/>
      <c r="Y267" s="28" t="b">
        <f t="shared" si="8"/>
        <v>1</v>
      </c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33">
        <v>8</v>
      </c>
      <c r="AT267" s="28"/>
      <c r="AU267" s="28"/>
      <c r="AV267" s="28"/>
      <c r="AW267" s="28"/>
      <c r="AX267" s="28"/>
      <c r="AY267" s="28"/>
      <c r="AZ267" s="28"/>
      <c r="BA267" s="28"/>
      <c r="BB267" s="28">
        <f t="shared" si="9"/>
        <v>8</v>
      </c>
      <c r="BC267" s="28"/>
    </row>
    <row r="268" spans="1:55">
      <c r="A268" s="28">
        <v>266</v>
      </c>
      <c r="B268" s="29">
        <v>129354</v>
      </c>
      <c r="C268" s="28" t="s">
        <v>347</v>
      </c>
      <c r="D268" s="28"/>
      <c r="E268" s="28">
        <v>20231226</v>
      </c>
      <c r="F268" s="28"/>
      <c r="G268" s="29" t="s">
        <v>283</v>
      </c>
      <c r="H268" s="28" t="s">
        <v>295</v>
      </c>
      <c r="I268" s="28" t="s">
        <v>22</v>
      </c>
      <c r="J268" s="28" t="s">
        <v>58</v>
      </c>
      <c r="K268" s="28"/>
      <c r="L268" s="28">
        <v>22.119999999999997</v>
      </c>
      <c r="M268" s="28"/>
      <c r="N268" s="28"/>
      <c r="O268" s="28">
        <v>8</v>
      </c>
      <c r="P268" s="28"/>
      <c r="Q268" s="28"/>
      <c r="R268" s="28"/>
      <c r="S268" s="28">
        <v>40</v>
      </c>
      <c r="T268" s="28"/>
      <c r="U268" s="28"/>
      <c r="V268" s="28"/>
      <c r="W268" s="28"/>
      <c r="X268" s="28"/>
      <c r="Y268" s="28" t="b">
        <f t="shared" si="8"/>
        <v>1</v>
      </c>
      <c r="Z268" s="32">
        <v>8</v>
      </c>
      <c r="AA268" s="33">
        <v>8</v>
      </c>
      <c r="AB268" s="35">
        <v>8</v>
      </c>
      <c r="AC268" s="32">
        <v>0.43</v>
      </c>
      <c r="AD268" s="32">
        <v>0.26</v>
      </c>
      <c r="AE268" s="32">
        <v>0.5</v>
      </c>
      <c r="AF268" s="28"/>
      <c r="AG268" s="28"/>
      <c r="AH268" s="28"/>
      <c r="AI268" s="28"/>
      <c r="AJ268" s="32">
        <v>0.23</v>
      </c>
      <c r="AK268" s="28"/>
      <c r="AL268" s="28"/>
      <c r="AM268" s="32">
        <v>4</v>
      </c>
      <c r="AN268" s="28"/>
      <c r="AO268" s="28"/>
      <c r="AP268" s="28"/>
      <c r="AQ268" s="28"/>
      <c r="AR268" s="28"/>
      <c r="AS268" s="32">
        <v>0.7</v>
      </c>
      <c r="AT268" s="28"/>
      <c r="AU268" s="28"/>
      <c r="AV268" s="35">
        <v>8</v>
      </c>
      <c r="AW268" s="35">
        <v>8</v>
      </c>
      <c r="AX268" s="35">
        <v>8</v>
      </c>
      <c r="AY268" s="35">
        <v>8</v>
      </c>
      <c r="AZ268" s="32">
        <v>8</v>
      </c>
      <c r="BA268" s="28"/>
      <c r="BB268" s="28">
        <f t="shared" si="9"/>
        <v>70.12</v>
      </c>
      <c r="BC268" s="28"/>
    </row>
    <row r="269" spans="1:55">
      <c r="A269" s="28">
        <v>267</v>
      </c>
      <c r="B269" s="29">
        <v>129376</v>
      </c>
      <c r="C269" s="28" t="s">
        <v>348</v>
      </c>
      <c r="D269" s="28"/>
      <c r="E269" s="28">
        <v>20231228</v>
      </c>
      <c r="F269" s="28"/>
      <c r="G269" s="29" t="s">
        <v>283</v>
      </c>
      <c r="H269" s="28" t="s">
        <v>295</v>
      </c>
      <c r="I269" s="28" t="s">
        <v>22</v>
      </c>
      <c r="J269" s="28" t="s">
        <v>54</v>
      </c>
      <c r="K269" s="28"/>
      <c r="L269" s="28">
        <v>0.18</v>
      </c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 t="b">
        <f t="shared" si="8"/>
        <v>1</v>
      </c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32">
        <v>0.18</v>
      </c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>
        <f t="shared" si="9"/>
        <v>0.18</v>
      </c>
      <c r="BC269" s="28"/>
    </row>
    <row r="270" spans="1:55">
      <c r="A270" s="28">
        <v>268</v>
      </c>
      <c r="B270" s="41">
        <v>129733</v>
      </c>
      <c r="C270" s="40" t="s">
        <v>349</v>
      </c>
      <c r="D270" s="40"/>
      <c r="E270" s="40">
        <v>20240123</v>
      </c>
      <c r="F270" s="40">
        <v>20260221</v>
      </c>
      <c r="G270" s="41" t="s">
        <v>283</v>
      </c>
      <c r="H270" s="40" t="s">
        <v>295</v>
      </c>
      <c r="I270" s="40" t="s">
        <v>22</v>
      </c>
      <c r="J270" s="40" t="s">
        <v>58</v>
      </c>
      <c r="K270" s="28"/>
      <c r="L270" s="28">
        <v>32.99</v>
      </c>
      <c r="M270" s="28"/>
      <c r="N270" s="28"/>
      <c r="O270" s="28">
        <v>72</v>
      </c>
      <c r="P270" s="28"/>
      <c r="Q270" s="28"/>
      <c r="R270" s="28"/>
      <c r="S270" s="28">
        <v>16</v>
      </c>
      <c r="T270" s="28"/>
      <c r="U270" s="28"/>
      <c r="V270" s="28"/>
      <c r="W270" s="28"/>
      <c r="X270" s="28"/>
      <c r="Y270" s="28" t="b">
        <f t="shared" si="8"/>
        <v>1</v>
      </c>
      <c r="Z270" s="28"/>
      <c r="AA270" s="32">
        <v>0.31</v>
      </c>
      <c r="AB270" s="28"/>
      <c r="AC270" s="32">
        <v>0.43</v>
      </c>
      <c r="AD270" s="32">
        <v>0.25</v>
      </c>
      <c r="AE270" s="33">
        <v>8</v>
      </c>
      <c r="AF270" s="33">
        <v>8</v>
      </c>
      <c r="AG270" s="33">
        <v>8</v>
      </c>
      <c r="AH270" s="33">
        <v>8</v>
      </c>
      <c r="AI270" s="33">
        <v>8</v>
      </c>
      <c r="AJ270" s="33">
        <v>8</v>
      </c>
      <c r="AK270" s="35">
        <v>8</v>
      </c>
      <c r="AL270" s="35">
        <v>8</v>
      </c>
      <c r="AM270" s="32">
        <v>4</v>
      </c>
      <c r="AN270" s="33">
        <v>8</v>
      </c>
      <c r="AO270" s="33">
        <v>8</v>
      </c>
      <c r="AP270" s="33">
        <v>8</v>
      </c>
      <c r="AQ270" s="32">
        <v>8</v>
      </c>
      <c r="AR270" s="32">
        <v>8</v>
      </c>
      <c r="AS270" s="32">
        <v>8</v>
      </c>
      <c r="AT270" s="32">
        <v>4</v>
      </c>
      <c r="AU270" s="28"/>
      <c r="AV270" s="28"/>
      <c r="AW270" s="28"/>
      <c r="AX270" s="28"/>
      <c r="AY270" s="28"/>
      <c r="AZ270" s="28"/>
      <c r="BA270" s="28"/>
      <c r="BB270" s="28">
        <f t="shared" si="9"/>
        <v>120.99000000000001</v>
      </c>
      <c r="BC270" s="28"/>
    </row>
    <row r="271" spans="1:55">
      <c r="A271" s="28">
        <v>269</v>
      </c>
      <c r="B271" s="29">
        <v>129789</v>
      </c>
      <c r="C271" s="28" t="s">
        <v>352</v>
      </c>
      <c r="D271" s="28"/>
      <c r="E271" s="28">
        <v>20240130</v>
      </c>
      <c r="F271" s="28"/>
      <c r="G271" s="29" t="s">
        <v>283</v>
      </c>
      <c r="H271" s="28" t="s">
        <v>295</v>
      </c>
      <c r="I271" s="28" t="s">
        <v>22</v>
      </c>
      <c r="J271" s="28" t="s">
        <v>54</v>
      </c>
      <c r="K271" s="28"/>
      <c r="L271" s="28">
        <v>0.46</v>
      </c>
      <c r="M271" s="28"/>
      <c r="N271" s="28"/>
      <c r="O271" s="28"/>
      <c r="P271" s="28"/>
      <c r="Q271" s="28"/>
      <c r="R271" s="28"/>
      <c r="S271" s="28">
        <v>8</v>
      </c>
      <c r="T271" s="28"/>
      <c r="U271" s="28"/>
      <c r="V271" s="28"/>
      <c r="W271" s="28"/>
      <c r="X271" s="28"/>
      <c r="Y271" s="28" t="b">
        <f t="shared" si="8"/>
        <v>1</v>
      </c>
      <c r="Z271" s="28"/>
      <c r="AA271" s="28"/>
      <c r="AB271" s="28"/>
      <c r="AC271" s="28"/>
      <c r="AD271" s="32">
        <v>0.46</v>
      </c>
      <c r="AE271" s="35">
        <v>8</v>
      </c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>
        <f t="shared" si="9"/>
        <v>8.4600000000000009</v>
      </c>
      <c r="BC271" s="28"/>
    </row>
    <row r="272" spans="1:55">
      <c r="A272" s="28">
        <v>270</v>
      </c>
      <c r="B272" s="29">
        <v>130252</v>
      </c>
      <c r="C272" s="28" t="s">
        <v>354</v>
      </c>
      <c r="D272" s="28"/>
      <c r="E272" s="28">
        <v>20240319</v>
      </c>
      <c r="F272" s="28"/>
      <c r="G272" s="29" t="s">
        <v>283</v>
      </c>
      <c r="H272" s="28" t="s">
        <v>295</v>
      </c>
      <c r="I272" s="28" t="s">
        <v>22</v>
      </c>
      <c r="J272" s="28" t="s">
        <v>58</v>
      </c>
      <c r="K272" s="28">
        <v>8</v>
      </c>
      <c r="L272" s="28">
        <v>2.33</v>
      </c>
      <c r="M272" s="28"/>
      <c r="N272" s="28"/>
      <c r="O272" s="28"/>
      <c r="P272" s="28"/>
      <c r="Q272" s="28"/>
      <c r="R272" s="28"/>
      <c r="S272" s="28">
        <v>16</v>
      </c>
      <c r="T272" s="28"/>
      <c r="U272" s="28"/>
      <c r="V272" s="28"/>
      <c r="W272" s="28"/>
      <c r="X272" s="28"/>
      <c r="Y272" s="28" t="b">
        <f t="shared" si="8"/>
        <v>1</v>
      </c>
      <c r="Z272" s="28"/>
      <c r="AA272" s="32">
        <v>0.23</v>
      </c>
      <c r="AB272" s="32">
        <v>0.38</v>
      </c>
      <c r="AC272" s="28"/>
      <c r="AD272" s="35">
        <v>8</v>
      </c>
      <c r="AE272" s="28"/>
      <c r="AF272" s="32">
        <v>0.33</v>
      </c>
      <c r="AG272" s="28"/>
      <c r="AH272" s="35">
        <v>8</v>
      </c>
      <c r="AI272" s="32">
        <v>0.78</v>
      </c>
      <c r="AJ272" s="32">
        <v>0.61</v>
      </c>
      <c r="AK272" s="28"/>
      <c r="AL272" s="28"/>
      <c r="AM272" s="28"/>
      <c r="AN272" s="28"/>
      <c r="AO272" s="28"/>
      <c r="AP272" s="28"/>
      <c r="AQ272" s="31">
        <v>8</v>
      </c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>
        <f t="shared" si="9"/>
        <v>26.33</v>
      </c>
      <c r="BC272" s="28"/>
    </row>
    <row r="273" spans="1:55">
      <c r="A273" s="28">
        <v>271</v>
      </c>
      <c r="B273" s="29">
        <v>131619</v>
      </c>
      <c r="C273" s="28" t="s">
        <v>364</v>
      </c>
      <c r="D273" s="28"/>
      <c r="E273" s="28">
        <v>20240827</v>
      </c>
      <c r="F273" s="28"/>
      <c r="G273" s="29" t="s">
        <v>283</v>
      </c>
      <c r="H273" s="28" t="s">
        <v>295</v>
      </c>
      <c r="I273" s="28" t="s">
        <v>22</v>
      </c>
      <c r="J273" s="28" t="s">
        <v>58</v>
      </c>
      <c r="K273" s="28"/>
      <c r="L273" s="28">
        <v>1.1499999999999999</v>
      </c>
      <c r="M273" s="28">
        <v>20</v>
      </c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 t="b">
        <f t="shared" si="8"/>
        <v>1</v>
      </c>
      <c r="Z273" s="28"/>
      <c r="AA273" s="28"/>
      <c r="AB273" s="28"/>
      <c r="AC273" s="28"/>
      <c r="AD273" s="28"/>
      <c r="AE273" s="32">
        <v>0.28000000000000003</v>
      </c>
      <c r="AF273" s="32">
        <v>0.21</v>
      </c>
      <c r="AG273" s="28"/>
      <c r="AH273" s="28"/>
      <c r="AI273" s="28"/>
      <c r="AJ273" s="32">
        <v>0.18</v>
      </c>
      <c r="AK273" s="28"/>
      <c r="AL273" s="28"/>
      <c r="AM273" s="28"/>
      <c r="AN273" s="28"/>
      <c r="AO273" s="28"/>
      <c r="AP273" s="28"/>
      <c r="AQ273" s="28"/>
      <c r="AR273" s="28"/>
      <c r="AS273" s="34">
        <v>8</v>
      </c>
      <c r="AT273" s="28"/>
      <c r="AU273" s="28"/>
      <c r="AV273" s="34">
        <v>8</v>
      </c>
      <c r="AW273" s="28"/>
      <c r="AX273" s="32">
        <v>0.25</v>
      </c>
      <c r="AY273" s="28"/>
      <c r="AZ273" s="32">
        <v>0.23</v>
      </c>
      <c r="BA273" s="34">
        <v>4</v>
      </c>
      <c r="BB273" s="28">
        <f t="shared" si="9"/>
        <v>21.150000000000002</v>
      </c>
      <c r="BC273" s="28"/>
    </row>
    <row r="274" spans="1:55">
      <c r="A274" s="28">
        <v>272</v>
      </c>
      <c r="B274" s="29">
        <v>133374</v>
      </c>
      <c r="C274" s="28" t="s">
        <v>376</v>
      </c>
      <c r="D274" s="28"/>
      <c r="E274" s="28">
        <v>20241220</v>
      </c>
      <c r="F274" s="28"/>
      <c r="G274" s="29" t="s">
        <v>283</v>
      </c>
      <c r="H274" s="28" t="s">
        <v>295</v>
      </c>
      <c r="I274" s="28" t="s">
        <v>22</v>
      </c>
      <c r="J274" s="28" t="s">
        <v>58</v>
      </c>
      <c r="K274" s="28"/>
      <c r="L274" s="28">
        <v>0.2</v>
      </c>
      <c r="M274" s="28"/>
      <c r="N274" s="28"/>
      <c r="O274" s="28"/>
      <c r="P274" s="28"/>
      <c r="Q274" s="28"/>
      <c r="R274" s="28"/>
      <c r="S274" s="28">
        <v>8</v>
      </c>
      <c r="T274" s="28"/>
      <c r="U274" s="28"/>
      <c r="V274" s="28"/>
      <c r="W274" s="28"/>
      <c r="X274" s="28"/>
      <c r="Y274" s="28" t="b">
        <f t="shared" si="8"/>
        <v>1</v>
      </c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32">
        <v>0.2</v>
      </c>
      <c r="AK274" s="28"/>
      <c r="AL274" s="28"/>
      <c r="AM274" s="28"/>
      <c r="AN274" s="28"/>
      <c r="AO274" s="28"/>
      <c r="AP274" s="28"/>
      <c r="AQ274" s="35">
        <v>8</v>
      </c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>
        <f t="shared" si="9"/>
        <v>8.1999999999999993</v>
      </c>
      <c r="BC274" s="28"/>
    </row>
    <row r="275" spans="1:55">
      <c r="A275" s="28">
        <v>273</v>
      </c>
      <c r="B275" s="29">
        <v>133701</v>
      </c>
      <c r="C275" s="28" t="s">
        <v>382</v>
      </c>
      <c r="D275" s="28"/>
      <c r="E275" s="28">
        <v>20250203</v>
      </c>
      <c r="F275" s="28"/>
      <c r="G275" s="29" t="s">
        <v>283</v>
      </c>
      <c r="H275" s="28" t="s">
        <v>295</v>
      </c>
      <c r="I275" s="28" t="s">
        <v>22</v>
      </c>
      <c r="J275" s="28" t="s">
        <v>54</v>
      </c>
      <c r="K275" s="28"/>
      <c r="L275" s="28"/>
      <c r="M275" s="28"/>
      <c r="N275" s="28"/>
      <c r="O275" s="28"/>
      <c r="P275" s="28"/>
      <c r="Q275" s="28"/>
      <c r="R275" s="28"/>
      <c r="S275" s="28">
        <v>8</v>
      </c>
      <c r="T275" s="28"/>
      <c r="U275" s="28"/>
      <c r="V275" s="28"/>
      <c r="W275" s="28"/>
      <c r="X275" s="28"/>
      <c r="Y275" s="28" t="b">
        <f t="shared" si="8"/>
        <v>1</v>
      </c>
      <c r="Z275" s="28"/>
      <c r="AA275" s="28"/>
      <c r="AB275" s="28"/>
      <c r="AC275" s="28"/>
      <c r="AD275" s="28"/>
      <c r="AE275" s="28"/>
      <c r="AF275" s="28"/>
      <c r="AG275" s="28"/>
      <c r="AH275" s="28"/>
      <c r="AI275" s="35">
        <v>8</v>
      </c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>
        <f t="shared" si="9"/>
        <v>8</v>
      </c>
      <c r="BC275" s="28"/>
    </row>
    <row r="276" spans="1:55">
      <c r="A276" s="28">
        <v>274</v>
      </c>
      <c r="B276" s="29">
        <v>134933</v>
      </c>
      <c r="C276" s="28" t="s">
        <v>301</v>
      </c>
      <c r="D276" s="28"/>
      <c r="E276" s="28">
        <v>20250522</v>
      </c>
      <c r="F276" s="28"/>
      <c r="G276" s="29" t="s">
        <v>283</v>
      </c>
      <c r="H276" s="28" t="s">
        <v>295</v>
      </c>
      <c r="I276" s="28" t="s">
        <v>22</v>
      </c>
      <c r="J276" s="28" t="s">
        <v>54</v>
      </c>
      <c r="K276" s="28">
        <v>4</v>
      </c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 t="b">
        <f t="shared" si="8"/>
        <v>1</v>
      </c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31">
        <v>4</v>
      </c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>
        <f t="shared" si="9"/>
        <v>4</v>
      </c>
      <c r="BC276" s="28"/>
    </row>
    <row r="277" spans="1:55">
      <c r="A277" s="28">
        <v>275</v>
      </c>
      <c r="B277" s="29">
        <v>135622</v>
      </c>
      <c r="C277" s="28" t="s">
        <v>377</v>
      </c>
      <c r="D277" s="28"/>
      <c r="E277" s="28">
        <v>20251014</v>
      </c>
      <c r="F277" s="28"/>
      <c r="G277" s="29" t="s">
        <v>283</v>
      </c>
      <c r="H277" s="28" t="s">
        <v>295</v>
      </c>
      <c r="I277" s="28" t="s">
        <v>22</v>
      </c>
      <c r="J277" s="28" t="s">
        <v>58</v>
      </c>
      <c r="K277" s="28"/>
      <c r="L277" s="28">
        <v>7.6499999999999995</v>
      </c>
      <c r="M277" s="28">
        <v>16</v>
      </c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 t="b">
        <f t="shared" si="8"/>
        <v>1</v>
      </c>
      <c r="Z277" s="28"/>
      <c r="AA277" s="32">
        <v>0.56000000000000005</v>
      </c>
      <c r="AB277" s="32">
        <v>0.53</v>
      </c>
      <c r="AC277" s="32">
        <v>0.81</v>
      </c>
      <c r="AD277" s="32">
        <v>0.31</v>
      </c>
      <c r="AE277" s="28"/>
      <c r="AF277" s="28"/>
      <c r="AG277" s="28"/>
      <c r="AH277" s="32">
        <v>0.73</v>
      </c>
      <c r="AI277" s="28"/>
      <c r="AJ277" s="28"/>
      <c r="AK277" s="28"/>
      <c r="AL277" s="28"/>
      <c r="AM277" s="32">
        <v>0.23</v>
      </c>
      <c r="AN277" s="28"/>
      <c r="AO277" s="28"/>
      <c r="AP277" s="28"/>
      <c r="AQ277" s="34">
        <v>8</v>
      </c>
      <c r="AR277" s="34">
        <v>8</v>
      </c>
      <c r="AS277" s="32">
        <v>0.5</v>
      </c>
      <c r="AT277" s="32">
        <v>0.81</v>
      </c>
      <c r="AU277" s="28"/>
      <c r="AV277" s="32">
        <v>0.96</v>
      </c>
      <c r="AW277" s="32">
        <v>0.68</v>
      </c>
      <c r="AX277" s="32">
        <v>0.41</v>
      </c>
      <c r="AY277" s="32">
        <v>0.51</v>
      </c>
      <c r="AZ277" s="32">
        <v>0.35</v>
      </c>
      <c r="BA277" s="32">
        <v>0.26</v>
      </c>
      <c r="BB277" s="28">
        <f t="shared" si="9"/>
        <v>23.650000000000006</v>
      </c>
      <c r="BC277" s="28"/>
    </row>
    <row r="278" spans="1:55">
      <c r="A278" s="28">
        <v>276</v>
      </c>
      <c r="B278" s="29">
        <v>135826</v>
      </c>
      <c r="C278" s="28" t="s">
        <v>413</v>
      </c>
      <c r="D278" s="28"/>
      <c r="E278" s="28">
        <v>20251125</v>
      </c>
      <c r="F278" s="28"/>
      <c r="G278" s="29" t="s">
        <v>283</v>
      </c>
      <c r="H278" s="28" t="s">
        <v>295</v>
      </c>
      <c r="I278" s="28" t="s">
        <v>22</v>
      </c>
      <c r="J278" s="28" t="s">
        <v>54</v>
      </c>
      <c r="K278" s="28"/>
      <c r="L278" s="28">
        <v>3.87</v>
      </c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 t="b">
        <f t="shared" si="8"/>
        <v>1</v>
      </c>
      <c r="Z278" s="28"/>
      <c r="AA278" s="28"/>
      <c r="AB278" s="28"/>
      <c r="AC278" s="28"/>
      <c r="AD278" s="32">
        <v>0.18</v>
      </c>
      <c r="AE278" s="28"/>
      <c r="AF278" s="32">
        <v>0.26</v>
      </c>
      <c r="AG278" s="28"/>
      <c r="AH278" s="32">
        <v>0.21</v>
      </c>
      <c r="AI278" s="28"/>
      <c r="AJ278" s="32">
        <v>0.2</v>
      </c>
      <c r="AK278" s="28"/>
      <c r="AL278" s="28"/>
      <c r="AM278" s="32">
        <v>0.43</v>
      </c>
      <c r="AN278" s="28"/>
      <c r="AO278" s="28"/>
      <c r="AP278" s="28"/>
      <c r="AQ278" s="32">
        <v>0.35</v>
      </c>
      <c r="AR278" s="32">
        <v>0.31</v>
      </c>
      <c r="AS278" s="28"/>
      <c r="AT278" s="32">
        <v>0.28000000000000003</v>
      </c>
      <c r="AU278" s="28"/>
      <c r="AV278" s="32">
        <v>0.43</v>
      </c>
      <c r="AW278" s="32">
        <v>0.43</v>
      </c>
      <c r="AX278" s="32">
        <v>0.23</v>
      </c>
      <c r="AY278" s="32">
        <v>0.35</v>
      </c>
      <c r="AZ278" s="32">
        <v>0.21</v>
      </c>
      <c r="BA278" s="28"/>
      <c r="BB278" s="28">
        <f t="shared" si="9"/>
        <v>3.87</v>
      </c>
      <c r="BC278" s="28"/>
    </row>
    <row r="279" spans="1:55">
      <c r="A279" s="28">
        <v>277</v>
      </c>
      <c r="B279" s="29">
        <v>136004</v>
      </c>
      <c r="C279" s="28" t="s">
        <v>418</v>
      </c>
      <c r="D279" s="28"/>
      <c r="E279" s="28">
        <v>20260113</v>
      </c>
      <c r="F279" s="28"/>
      <c r="G279" s="29" t="s">
        <v>283</v>
      </c>
      <c r="H279" s="28" t="s">
        <v>295</v>
      </c>
      <c r="I279" s="28" t="s">
        <v>22</v>
      </c>
      <c r="J279" s="28" t="s">
        <v>54</v>
      </c>
      <c r="K279" s="28"/>
      <c r="L279" s="28">
        <v>0.85</v>
      </c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 t="b">
        <f t="shared" si="8"/>
        <v>1</v>
      </c>
      <c r="Z279" s="28"/>
      <c r="AA279" s="28"/>
      <c r="AB279" s="28"/>
      <c r="AC279" s="28"/>
      <c r="AD279" s="28"/>
      <c r="AE279" s="28"/>
      <c r="AF279" s="28"/>
      <c r="AG279" s="28"/>
      <c r="AH279" s="32">
        <v>0.6</v>
      </c>
      <c r="AI279" s="28"/>
      <c r="AJ279" s="28"/>
      <c r="AK279" s="28"/>
      <c r="AL279" s="28"/>
      <c r="AM279" s="28"/>
      <c r="AN279" s="28"/>
      <c r="AO279" s="28"/>
      <c r="AP279" s="28"/>
      <c r="AQ279" s="32">
        <v>0.25</v>
      </c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>
        <f t="shared" si="9"/>
        <v>0.85</v>
      </c>
      <c r="BC279" s="28"/>
    </row>
    <row r="280" spans="1:55">
      <c r="A280" s="28">
        <v>278</v>
      </c>
      <c r="B280" s="29">
        <v>108153</v>
      </c>
      <c r="C280" s="28" t="s">
        <v>306</v>
      </c>
      <c r="D280" s="28"/>
      <c r="E280" s="28">
        <v>20170502</v>
      </c>
      <c r="F280" s="28"/>
      <c r="G280" s="29" t="s">
        <v>283</v>
      </c>
      <c r="H280" s="28" t="s">
        <v>307</v>
      </c>
      <c r="I280" s="28" t="s">
        <v>308</v>
      </c>
      <c r="J280" s="28" t="s">
        <v>54</v>
      </c>
      <c r="K280" s="28"/>
      <c r="L280" s="28"/>
      <c r="M280" s="28"/>
      <c r="N280" s="28"/>
      <c r="O280" s="28">
        <v>8</v>
      </c>
      <c r="P280" s="28"/>
      <c r="Q280" s="28"/>
      <c r="R280" s="28"/>
      <c r="S280" s="28"/>
      <c r="T280" s="28"/>
      <c r="U280" s="28"/>
      <c r="V280" s="28"/>
      <c r="W280" s="28"/>
      <c r="X280" s="28"/>
      <c r="Y280" s="28" t="b">
        <f t="shared" si="8"/>
        <v>1</v>
      </c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33">
        <v>8</v>
      </c>
      <c r="BA280" s="28"/>
      <c r="BB280" s="28">
        <f t="shared" si="9"/>
        <v>8</v>
      </c>
      <c r="BC280" s="28"/>
    </row>
    <row r="281" spans="1:55">
      <c r="A281" s="28">
        <v>279</v>
      </c>
      <c r="B281" s="29">
        <v>109836</v>
      </c>
      <c r="C281" s="28" t="s">
        <v>317</v>
      </c>
      <c r="D281" s="28"/>
      <c r="E281" s="28">
        <v>20170926</v>
      </c>
      <c r="F281" s="28"/>
      <c r="G281" s="29" t="s">
        <v>283</v>
      </c>
      <c r="H281" s="28" t="s">
        <v>307</v>
      </c>
      <c r="I281" s="28" t="s">
        <v>308</v>
      </c>
      <c r="J281" s="28" t="s">
        <v>54</v>
      </c>
      <c r="K281" s="28"/>
      <c r="L281" s="28"/>
      <c r="M281" s="28"/>
      <c r="N281" s="28"/>
      <c r="O281" s="28">
        <v>16</v>
      </c>
      <c r="P281" s="28"/>
      <c r="Q281" s="28"/>
      <c r="R281" s="28"/>
      <c r="S281" s="28"/>
      <c r="T281" s="28"/>
      <c r="U281" s="28"/>
      <c r="V281" s="28"/>
      <c r="W281" s="28"/>
      <c r="X281" s="28"/>
      <c r="Y281" s="28" t="b">
        <f t="shared" si="8"/>
        <v>1</v>
      </c>
      <c r="Z281" s="28"/>
      <c r="AA281" s="28"/>
      <c r="AB281" s="28"/>
      <c r="AC281" s="33">
        <v>8</v>
      </c>
      <c r="AD281" s="28"/>
      <c r="AE281" s="28"/>
      <c r="AF281" s="28"/>
      <c r="AG281" s="28"/>
      <c r="AH281" s="28"/>
      <c r="AI281" s="28"/>
      <c r="AJ281" s="33">
        <v>8</v>
      </c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>
        <f t="shared" si="9"/>
        <v>16</v>
      </c>
      <c r="BC281" s="28"/>
    </row>
    <row r="282" spans="1:55">
      <c r="A282" s="28">
        <v>280</v>
      </c>
      <c r="B282" s="29">
        <v>126139</v>
      </c>
      <c r="C282" s="28" t="s">
        <v>335</v>
      </c>
      <c r="D282" s="28"/>
      <c r="E282" s="28">
        <v>20220322</v>
      </c>
      <c r="F282" s="28"/>
      <c r="G282" s="29" t="s">
        <v>283</v>
      </c>
      <c r="H282" s="28" t="s">
        <v>307</v>
      </c>
      <c r="I282" s="28" t="s">
        <v>308</v>
      </c>
      <c r="J282" s="28" t="s">
        <v>54</v>
      </c>
      <c r="K282" s="28">
        <v>8</v>
      </c>
      <c r="L282" s="28">
        <v>9.2200000000000024</v>
      </c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 t="b">
        <f t="shared" si="8"/>
        <v>1</v>
      </c>
      <c r="Z282" s="28"/>
      <c r="AA282" s="32">
        <v>0.8</v>
      </c>
      <c r="AB282" s="32">
        <v>8</v>
      </c>
      <c r="AC282" s="28"/>
      <c r="AD282" s="28"/>
      <c r="AE282" s="28"/>
      <c r="AF282" s="28"/>
      <c r="AG282" s="28"/>
      <c r="AH282" s="28"/>
      <c r="AI282" s="32">
        <v>0.21</v>
      </c>
      <c r="AJ282" s="28"/>
      <c r="AK282" s="28"/>
      <c r="AL282" s="28"/>
      <c r="AM282" s="28"/>
      <c r="AN282" s="28"/>
      <c r="AO282" s="28"/>
      <c r="AP282" s="28"/>
      <c r="AQ282" s="28"/>
      <c r="AR282" s="31">
        <v>8</v>
      </c>
      <c r="AS282" s="28"/>
      <c r="AT282" s="28"/>
      <c r="AU282" s="28"/>
      <c r="AV282" s="28"/>
      <c r="AW282" s="28"/>
      <c r="AX282" s="28"/>
      <c r="AY282" s="28"/>
      <c r="AZ282" s="32">
        <v>0.21</v>
      </c>
      <c r="BA282" s="28"/>
      <c r="BB282" s="28">
        <f t="shared" si="9"/>
        <v>17.220000000000002</v>
      </c>
      <c r="BC282" s="28"/>
    </row>
    <row r="283" spans="1:55">
      <c r="A283" s="28">
        <v>281</v>
      </c>
      <c r="B283" s="29">
        <v>127491</v>
      </c>
      <c r="C283" s="28" t="s">
        <v>339</v>
      </c>
      <c r="D283" s="28"/>
      <c r="E283" s="28">
        <v>20220609</v>
      </c>
      <c r="F283" s="28"/>
      <c r="G283" s="29" t="s">
        <v>283</v>
      </c>
      <c r="H283" s="28" t="s">
        <v>307</v>
      </c>
      <c r="I283" s="28" t="s">
        <v>308</v>
      </c>
      <c r="J283" s="28" t="s">
        <v>54</v>
      </c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 t="b">
        <f t="shared" si="8"/>
        <v>1</v>
      </c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>
        <f t="shared" si="9"/>
        <v>0</v>
      </c>
      <c r="BC283" s="28"/>
    </row>
    <row r="284" spans="1:55">
      <c r="A284" s="28">
        <v>282</v>
      </c>
      <c r="B284" s="29">
        <v>127941</v>
      </c>
      <c r="C284" s="28" t="s">
        <v>344</v>
      </c>
      <c r="D284" s="28"/>
      <c r="E284" s="28">
        <v>20220628</v>
      </c>
      <c r="F284" s="28"/>
      <c r="G284" s="29" t="s">
        <v>283</v>
      </c>
      <c r="H284" s="28" t="s">
        <v>307</v>
      </c>
      <c r="I284" s="28" t="s">
        <v>308</v>
      </c>
      <c r="J284" s="28" t="s">
        <v>54</v>
      </c>
      <c r="K284" s="28">
        <v>8</v>
      </c>
      <c r="L284" s="28">
        <v>5.53</v>
      </c>
      <c r="M284" s="28"/>
      <c r="N284" s="28"/>
      <c r="O284" s="28">
        <v>8</v>
      </c>
      <c r="P284" s="28"/>
      <c r="Q284" s="28"/>
      <c r="R284" s="28"/>
      <c r="S284" s="28"/>
      <c r="T284" s="28"/>
      <c r="U284" s="28"/>
      <c r="V284" s="28"/>
      <c r="W284" s="28"/>
      <c r="X284" s="28"/>
      <c r="Y284" s="28" t="b">
        <f t="shared" si="8"/>
        <v>1</v>
      </c>
      <c r="Z284" s="28"/>
      <c r="AA284" s="32">
        <v>0.45</v>
      </c>
      <c r="AB284" s="28"/>
      <c r="AC284" s="32">
        <v>0.2</v>
      </c>
      <c r="AD284" s="32">
        <v>0.26</v>
      </c>
      <c r="AE284" s="32">
        <v>0.48</v>
      </c>
      <c r="AF284" s="32">
        <v>0.43</v>
      </c>
      <c r="AG284" s="28"/>
      <c r="AH284" s="28"/>
      <c r="AI284" s="32">
        <v>0.3</v>
      </c>
      <c r="AJ284" s="32">
        <v>0.45</v>
      </c>
      <c r="AK284" s="28"/>
      <c r="AL284" s="28"/>
      <c r="AM284" s="28"/>
      <c r="AN284" s="28"/>
      <c r="AO284" s="28"/>
      <c r="AP284" s="28"/>
      <c r="AQ284" s="31">
        <v>8</v>
      </c>
      <c r="AR284" s="28"/>
      <c r="AS284" s="28"/>
      <c r="AT284" s="32">
        <v>0.3</v>
      </c>
      <c r="AU284" s="28"/>
      <c r="AV284" s="28"/>
      <c r="AW284" s="32">
        <v>0.46</v>
      </c>
      <c r="AX284" s="32">
        <v>1</v>
      </c>
      <c r="AY284" s="32">
        <v>0.45</v>
      </c>
      <c r="AZ284" s="32">
        <v>0.75</v>
      </c>
      <c r="BA284" s="33">
        <v>8</v>
      </c>
      <c r="BB284" s="28">
        <f t="shared" si="9"/>
        <v>21.53</v>
      </c>
      <c r="BC284" s="28"/>
    </row>
    <row r="285" spans="1:55">
      <c r="A285" s="28">
        <v>283</v>
      </c>
      <c r="B285" s="29">
        <v>128344</v>
      </c>
      <c r="C285" s="28" t="s">
        <v>345</v>
      </c>
      <c r="D285" s="28"/>
      <c r="E285" s="28">
        <v>20220728</v>
      </c>
      <c r="F285" s="28"/>
      <c r="G285" s="29" t="s">
        <v>283</v>
      </c>
      <c r="H285" s="28" t="s">
        <v>307</v>
      </c>
      <c r="I285" s="28" t="s">
        <v>308</v>
      </c>
      <c r="J285" s="28" t="s">
        <v>54</v>
      </c>
      <c r="K285" s="28">
        <v>8</v>
      </c>
      <c r="L285" s="28">
        <v>8</v>
      </c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 t="b">
        <f t="shared" si="8"/>
        <v>1</v>
      </c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31">
        <v>8</v>
      </c>
      <c r="AW285" s="28"/>
      <c r="AX285" s="32">
        <v>8</v>
      </c>
      <c r="AY285" s="28"/>
      <c r="AZ285" s="28"/>
      <c r="BA285" s="28"/>
      <c r="BB285" s="28">
        <f t="shared" si="9"/>
        <v>16</v>
      </c>
      <c r="BC285" s="28"/>
    </row>
    <row r="286" spans="1:55">
      <c r="A286" s="28">
        <v>284</v>
      </c>
      <c r="B286" s="29">
        <v>131860</v>
      </c>
      <c r="C286" s="28" t="s">
        <v>365</v>
      </c>
      <c r="D286" s="28"/>
      <c r="E286" s="28">
        <v>20240909</v>
      </c>
      <c r="F286" s="28"/>
      <c r="G286" s="29" t="s">
        <v>283</v>
      </c>
      <c r="H286" s="28" t="s">
        <v>307</v>
      </c>
      <c r="I286" s="28" t="s">
        <v>308</v>
      </c>
      <c r="J286" s="28" t="s">
        <v>54</v>
      </c>
      <c r="K286" s="28"/>
      <c r="L286" s="28"/>
      <c r="M286" s="28"/>
      <c r="N286" s="28"/>
      <c r="O286" s="28"/>
      <c r="P286" s="28"/>
      <c r="Q286" s="28">
        <v>192</v>
      </c>
      <c r="R286" s="28"/>
      <c r="S286" s="28"/>
      <c r="T286" s="28"/>
      <c r="U286" s="28"/>
      <c r="V286" s="28"/>
      <c r="W286" s="28"/>
      <c r="X286" s="28"/>
      <c r="Y286" s="28" t="b">
        <f t="shared" si="8"/>
        <v>1</v>
      </c>
      <c r="Z286" s="43">
        <v>8</v>
      </c>
      <c r="AA286" s="43">
        <v>8</v>
      </c>
      <c r="AB286" s="43">
        <v>8</v>
      </c>
      <c r="AC286" s="43">
        <v>8</v>
      </c>
      <c r="AD286" s="43">
        <v>8</v>
      </c>
      <c r="AE286" s="43">
        <v>8</v>
      </c>
      <c r="AF286" s="43">
        <v>8</v>
      </c>
      <c r="AG286" s="43">
        <v>8</v>
      </c>
      <c r="AH286" s="43">
        <v>8</v>
      </c>
      <c r="AI286" s="43">
        <v>8</v>
      </c>
      <c r="AJ286" s="43">
        <v>8</v>
      </c>
      <c r="AK286" s="43">
        <v>8</v>
      </c>
      <c r="AL286" s="43">
        <v>8</v>
      </c>
      <c r="AM286" s="43">
        <v>8</v>
      </c>
      <c r="AN286" s="43">
        <v>8</v>
      </c>
      <c r="AO286" s="43">
        <v>8</v>
      </c>
      <c r="AP286" s="43">
        <v>8</v>
      </c>
      <c r="AQ286" s="43">
        <v>8</v>
      </c>
      <c r="AR286" s="43">
        <v>8</v>
      </c>
      <c r="AS286" s="43">
        <v>8</v>
      </c>
      <c r="AT286" s="43">
        <v>8</v>
      </c>
      <c r="AU286" s="43">
        <v>8</v>
      </c>
      <c r="AV286" s="43">
        <v>8</v>
      </c>
      <c r="AW286" s="43">
        <v>8</v>
      </c>
      <c r="AX286" s="28"/>
      <c r="AY286" s="28"/>
      <c r="AZ286" s="28"/>
      <c r="BA286" s="28"/>
      <c r="BB286" s="28">
        <f t="shared" si="9"/>
        <v>192</v>
      </c>
      <c r="BC286" s="28"/>
    </row>
    <row r="287" spans="1:55">
      <c r="A287" s="28">
        <v>285</v>
      </c>
      <c r="B287" s="29">
        <v>133574</v>
      </c>
      <c r="C287" s="28" t="s">
        <v>381</v>
      </c>
      <c r="D287" s="28"/>
      <c r="E287" s="28">
        <v>20250115</v>
      </c>
      <c r="F287" s="28"/>
      <c r="G287" s="29" t="s">
        <v>283</v>
      </c>
      <c r="H287" s="28" t="s">
        <v>307</v>
      </c>
      <c r="I287" s="28" t="s">
        <v>308</v>
      </c>
      <c r="J287" s="28" t="s">
        <v>54</v>
      </c>
      <c r="K287" s="28"/>
      <c r="L287" s="28">
        <v>3.46</v>
      </c>
      <c r="M287" s="28"/>
      <c r="N287" s="28"/>
      <c r="O287" s="28">
        <v>8</v>
      </c>
      <c r="P287" s="28"/>
      <c r="Q287" s="28"/>
      <c r="R287" s="28"/>
      <c r="S287" s="28"/>
      <c r="T287" s="28"/>
      <c r="U287" s="28"/>
      <c r="V287" s="28"/>
      <c r="W287" s="28"/>
      <c r="X287" s="28"/>
      <c r="Y287" s="28" t="b">
        <f t="shared" si="8"/>
        <v>1</v>
      </c>
      <c r="Z287" s="28"/>
      <c r="AA287" s="28"/>
      <c r="AB287" s="28"/>
      <c r="AC287" s="28"/>
      <c r="AD287" s="28"/>
      <c r="AE287" s="28"/>
      <c r="AF287" s="28"/>
      <c r="AG287" s="28"/>
      <c r="AH287" s="28"/>
      <c r="AI287" s="32">
        <v>1.96</v>
      </c>
      <c r="AJ287" s="28"/>
      <c r="AK287" s="28"/>
      <c r="AL287" s="28"/>
      <c r="AM287" s="33">
        <v>8</v>
      </c>
      <c r="AN287" s="28"/>
      <c r="AO287" s="28"/>
      <c r="AP287" s="28"/>
      <c r="AQ287" s="28"/>
      <c r="AR287" s="32">
        <v>1.5</v>
      </c>
      <c r="AS287" s="28"/>
      <c r="AT287" s="28"/>
      <c r="AU287" s="28"/>
      <c r="AV287" s="28"/>
      <c r="AW287" s="28"/>
      <c r="AX287" s="28"/>
      <c r="AY287" s="28"/>
      <c r="AZ287" s="28"/>
      <c r="BA287" s="28"/>
      <c r="BB287" s="28">
        <f t="shared" si="9"/>
        <v>11.46</v>
      </c>
      <c r="BC287" s="28"/>
    </row>
    <row r="288" spans="1:55">
      <c r="A288" s="28">
        <v>286</v>
      </c>
      <c r="B288" s="29">
        <v>133702</v>
      </c>
      <c r="C288" s="28" t="s">
        <v>383</v>
      </c>
      <c r="D288" s="28"/>
      <c r="E288" s="28">
        <v>20250203</v>
      </c>
      <c r="F288" s="28"/>
      <c r="G288" s="29" t="s">
        <v>283</v>
      </c>
      <c r="H288" s="28" t="s">
        <v>307</v>
      </c>
      <c r="I288" s="28" t="s">
        <v>308</v>
      </c>
      <c r="J288" s="28" t="s">
        <v>54</v>
      </c>
      <c r="K288" s="28"/>
      <c r="L288" s="28">
        <v>4</v>
      </c>
      <c r="M288" s="28"/>
      <c r="N288" s="28"/>
      <c r="O288" s="28">
        <v>8</v>
      </c>
      <c r="P288" s="28"/>
      <c r="Q288" s="28"/>
      <c r="R288" s="28"/>
      <c r="S288" s="28"/>
      <c r="T288" s="28"/>
      <c r="U288" s="28"/>
      <c r="V288" s="28"/>
      <c r="W288" s="28"/>
      <c r="X288" s="28"/>
      <c r="Y288" s="28" t="b">
        <f t="shared" si="8"/>
        <v>1</v>
      </c>
      <c r="Z288" s="28"/>
      <c r="AA288" s="28"/>
      <c r="AB288" s="28"/>
      <c r="AC288" s="28"/>
      <c r="AD288" s="28"/>
      <c r="AE288" s="33">
        <v>8</v>
      </c>
      <c r="AF288" s="28"/>
      <c r="AG288" s="28"/>
      <c r="AH288" s="28"/>
      <c r="AI288" s="28"/>
      <c r="AJ288" s="28"/>
      <c r="AK288" s="28"/>
      <c r="AL288" s="28"/>
      <c r="AM288" s="32">
        <v>4</v>
      </c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>
        <f t="shared" si="9"/>
        <v>12</v>
      </c>
      <c r="BC288" s="28"/>
    </row>
    <row r="289" spans="1:55">
      <c r="A289" s="28">
        <v>287</v>
      </c>
      <c r="B289" s="29">
        <v>134929</v>
      </c>
      <c r="C289" s="28" t="s">
        <v>398</v>
      </c>
      <c r="D289" s="28"/>
      <c r="E289" s="28">
        <v>20250520</v>
      </c>
      <c r="F289" s="28"/>
      <c r="G289" s="29" t="s">
        <v>283</v>
      </c>
      <c r="H289" s="28" t="s">
        <v>307</v>
      </c>
      <c r="I289" s="28" t="s">
        <v>308</v>
      </c>
      <c r="J289" s="28" t="s">
        <v>54</v>
      </c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 t="b">
        <f t="shared" si="8"/>
        <v>1</v>
      </c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>
        <f t="shared" si="9"/>
        <v>0</v>
      </c>
      <c r="BC289" s="28"/>
    </row>
    <row r="290" spans="1:55">
      <c r="A290" s="28">
        <v>288</v>
      </c>
      <c r="B290" s="29">
        <v>134930</v>
      </c>
      <c r="C290" s="28" t="s">
        <v>399</v>
      </c>
      <c r="D290" s="28"/>
      <c r="E290" s="28">
        <v>20250520</v>
      </c>
      <c r="F290" s="28"/>
      <c r="G290" s="29" t="s">
        <v>283</v>
      </c>
      <c r="H290" s="28" t="s">
        <v>307</v>
      </c>
      <c r="I290" s="28" t="s">
        <v>308</v>
      </c>
      <c r="J290" s="28" t="s">
        <v>58</v>
      </c>
      <c r="K290" s="28">
        <v>8</v>
      </c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 t="b">
        <f t="shared" si="8"/>
        <v>1</v>
      </c>
      <c r="Z290" s="28"/>
      <c r="AA290" s="28"/>
      <c r="AB290" s="28"/>
      <c r="AC290" s="28"/>
      <c r="AD290" s="31">
        <v>8</v>
      </c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>
        <f t="shared" si="9"/>
        <v>8</v>
      </c>
      <c r="BC290" s="28"/>
    </row>
    <row r="291" spans="1:55">
      <c r="A291" s="28">
        <v>289</v>
      </c>
      <c r="B291" s="29">
        <v>135381</v>
      </c>
      <c r="C291" s="28" t="s">
        <v>405</v>
      </c>
      <c r="D291" s="28"/>
      <c r="E291" s="28">
        <v>20250901</v>
      </c>
      <c r="F291" s="28"/>
      <c r="G291" s="29" t="s">
        <v>283</v>
      </c>
      <c r="H291" s="28" t="s">
        <v>307</v>
      </c>
      <c r="I291" s="28" t="s">
        <v>308</v>
      </c>
      <c r="J291" s="28" t="s">
        <v>54</v>
      </c>
      <c r="K291" s="28"/>
      <c r="L291" s="28">
        <v>4.7699999999999996</v>
      </c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 t="b">
        <f t="shared" si="8"/>
        <v>1</v>
      </c>
      <c r="Z291" s="28"/>
      <c r="AA291" s="28"/>
      <c r="AB291" s="32">
        <v>0.51</v>
      </c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32">
        <v>4</v>
      </c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32">
        <v>0.26</v>
      </c>
      <c r="AZ291" s="28"/>
      <c r="BA291" s="28"/>
      <c r="BB291" s="28">
        <f t="shared" si="9"/>
        <v>4.7699999999999996</v>
      </c>
      <c r="BC291" s="28"/>
    </row>
    <row r="292" spans="1:55">
      <c r="A292" s="28">
        <v>290</v>
      </c>
      <c r="B292" s="29">
        <v>135830</v>
      </c>
      <c r="C292" s="28" t="s">
        <v>414</v>
      </c>
      <c r="D292" s="28"/>
      <c r="E292" s="28">
        <v>20251204</v>
      </c>
      <c r="F292" s="28"/>
      <c r="G292" s="29" t="s">
        <v>283</v>
      </c>
      <c r="H292" s="28" t="s">
        <v>307</v>
      </c>
      <c r="I292" s="28" t="s">
        <v>308</v>
      </c>
      <c r="J292" s="28" t="s">
        <v>54</v>
      </c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 t="b">
        <f t="shared" si="8"/>
        <v>1</v>
      </c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>
        <f t="shared" si="9"/>
        <v>0</v>
      </c>
      <c r="BC292" s="28"/>
    </row>
    <row r="293" spans="1:55">
      <c r="A293" s="28">
        <v>291</v>
      </c>
      <c r="B293" s="29">
        <v>700137</v>
      </c>
      <c r="C293" s="28" t="s">
        <v>424</v>
      </c>
      <c r="D293" s="28"/>
      <c r="E293" s="28">
        <v>20180607</v>
      </c>
      <c r="F293" s="28"/>
      <c r="G293" s="29" t="s">
        <v>283</v>
      </c>
      <c r="H293" s="28" t="s">
        <v>307</v>
      </c>
      <c r="I293" s="28" t="s">
        <v>308</v>
      </c>
      <c r="J293" s="28" t="s">
        <v>54</v>
      </c>
      <c r="K293" s="28"/>
      <c r="L293" s="28">
        <v>17.840000000000003</v>
      </c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 t="b">
        <f t="shared" si="8"/>
        <v>1</v>
      </c>
      <c r="Z293" s="28"/>
      <c r="AA293" s="32">
        <v>8</v>
      </c>
      <c r="AB293" s="28"/>
      <c r="AC293" s="28"/>
      <c r="AD293" s="28"/>
      <c r="AE293" s="32">
        <v>0.3</v>
      </c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32">
        <v>0.41</v>
      </c>
      <c r="AR293" s="32">
        <v>8</v>
      </c>
      <c r="AS293" s="32">
        <v>0.21</v>
      </c>
      <c r="AT293" s="28"/>
      <c r="AU293" s="28"/>
      <c r="AV293" s="28"/>
      <c r="AW293" s="32">
        <v>0.26</v>
      </c>
      <c r="AX293" s="32">
        <v>0.2</v>
      </c>
      <c r="AY293" s="32">
        <v>0.26</v>
      </c>
      <c r="AZ293" s="28"/>
      <c r="BA293" s="32">
        <v>0.2</v>
      </c>
      <c r="BB293" s="28">
        <f t="shared" si="9"/>
        <v>17.840000000000003</v>
      </c>
      <c r="BC293" s="28"/>
    </row>
    <row r="294" spans="1:55">
      <c r="A294" s="28">
        <v>292</v>
      </c>
      <c r="B294" s="29">
        <v>701200</v>
      </c>
      <c r="C294" s="28" t="s">
        <v>426</v>
      </c>
      <c r="D294" s="28"/>
      <c r="E294" s="28">
        <v>20200514</v>
      </c>
      <c r="F294" s="28"/>
      <c r="G294" s="29" t="s">
        <v>283</v>
      </c>
      <c r="H294" s="28" t="s">
        <v>307</v>
      </c>
      <c r="I294" s="28" t="s">
        <v>308</v>
      </c>
      <c r="J294" s="28" t="s">
        <v>54</v>
      </c>
      <c r="K294" s="28">
        <v>4</v>
      </c>
      <c r="L294" s="28"/>
      <c r="M294" s="28">
        <v>8</v>
      </c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 t="b">
        <f t="shared" si="8"/>
        <v>1</v>
      </c>
      <c r="Z294" s="28"/>
      <c r="AA294" s="28"/>
      <c r="AB294" s="28"/>
      <c r="AC294" s="28"/>
      <c r="AD294" s="28"/>
      <c r="AE294" s="28"/>
      <c r="AF294" s="28"/>
      <c r="AG294" s="28"/>
      <c r="AH294" s="34">
        <v>8</v>
      </c>
      <c r="AI294" s="28"/>
      <c r="AJ294" s="28"/>
      <c r="AK294" s="28"/>
      <c r="AL294" s="28"/>
      <c r="AM294" s="31">
        <v>4</v>
      </c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>
        <f t="shared" si="9"/>
        <v>12</v>
      </c>
      <c r="BC294" s="28"/>
    </row>
    <row r="295" spans="1:55">
      <c r="A295" s="28">
        <v>293</v>
      </c>
      <c r="B295" s="29">
        <v>701672</v>
      </c>
      <c r="C295" s="28" t="s">
        <v>427</v>
      </c>
      <c r="D295" s="28"/>
      <c r="E295" s="28">
        <v>20220222</v>
      </c>
      <c r="F295" s="28"/>
      <c r="G295" s="29" t="s">
        <v>283</v>
      </c>
      <c r="H295" s="28" t="s">
        <v>307</v>
      </c>
      <c r="I295" s="28" t="s">
        <v>308</v>
      </c>
      <c r="J295" s="28" t="s">
        <v>54</v>
      </c>
      <c r="K295" s="28">
        <v>4</v>
      </c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 t="b">
        <f t="shared" si="8"/>
        <v>1</v>
      </c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31">
        <v>4</v>
      </c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>
        <f t="shared" si="9"/>
        <v>4</v>
      </c>
      <c r="BC295" s="28"/>
    </row>
    <row r="296" spans="1:55">
      <c r="A296" s="28">
        <v>294</v>
      </c>
      <c r="B296" s="29">
        <v>100324</v>
      </c>
      <c r="C296" s="28" t="s">
        <v>287</v>
      </c>
      <c r="D296" s="28"/>
      <c r="E296" s="28">
        <v>20150512</v>
      </c>
      <c r="F296" s="28"/>
      <c r="G296" s="29" t="s">
        <v>283</v>
      </c>
      <c r="H296" s="28" t="s">
        <v>288</v>
      </c>
      <c r="I296" s="28" t="s">
        <v>289</v>
      </c>
      <c r="J296" s="28" t="s">
        <v>54</v>
      </c>
      <c r="K296" s="28">
        <v>3.5</v>
      </c>
      <c r="L296" s="28">
        <v>0.5</v>
      </c>
      <c r="M296" s="28">
        <v>3.5</v>
      </c>
      <c r="N296" s="28"/>
      <c r="O296" s="28">
        <v>32</v>
      </c>
      <c r="P296" s="28"/>
      <c r="Q296" s="28"/>
      <c r="R296" s="28"/>
      <c r="S296" s="28"/>
      <c r="T296" s="28"/>
      <c r="U296" s="28"/>
      <c r="V296" s="28"/>
      <c r="W296" s="28"/>
      <c r="X296" s="28"/>
      <c r="Y296" s="28" t="b">
        <f t="shared" si="8"/>
        <v>1</v>
      </c>
      <c r="Z296" s="28"/>
      <c r="AA296" s="28"/>
      <c r="AB296" s="28"/>
      <c r="AC296" s="28"/>
      <c r="AD296" s="28"/>
      <c r="AE296" s="28"/>
      <c r="AF296" s="28"/>
      <c r="AG296" s="28"/>
      <c r="AH296" s="34">
        <v>3.5</v>
      </c>
      <c r="AI296" s="32">
        <v>0.5</v>
      </c>
      <c r="AJ296" s="33">
        <v>8</v>
      </c>
      <c r="AK296" s="28"/>
      <c r="AL296" s="28"/>
      <c r="AM296" s="28"/>
      <c r="AN296" s="28"/>
      <c r="AO296" s="28"/>
      <c r="AP296" s="28"/>
      <c r="AQ296" s="31">
        <v>3.5</v>
      </c>
      <c r="AR296" s="28"/>
      <c r="AS296" s="33">
        <v>8</v>
      </c>
      <c r="AT296" s="33">
        <v>8</v>
      </c>
      <c r="AU296" s="28"/>
      <c r="AV296" s="28"/>
      <c r="AW296" s="28"/>
      <c r="AX296" s="33">
        <v>8</v>
      </c>
      <c r="AY296" s="28"/>
      <c r="AZ296" s="28"/>
      <c r="BA296" s="28"/>
      <c r="BB296" s="28">
        <f t="shared" si="9"/>
        <v>39.5</v>
      </c>
      <c r="BC296" s="28"/>
    </row>
    <row r="297" spans="1:55">
      <c r="A297" s="28">
        <v>295</v>
      </c>
      <c r="B297" s="29">
        <v>101531</v>
      </c>
      <c r="C297" s="28" t="s">
        <v>296</v>
      </c>
      <c r="D297" s="28"/>
      <c r="E297" s="28">
        <v>20151229</v>
      </c>
      <c r="F297" s="28"/>
      <c r="G297" s="29" t="s">
        <v>283</v>
      </c>
      <c r="H297" s="28" t="s">
        <v>288</v>
      </c>
      <c r="I297" s="28" t="s">
        <v>289</v>
      </c>
      <c r="J297" s="28" t="s">
        <v>54</v>
      </c>
      <c r="K297" s="28"/>
      <c r="L297" s="28"/>
      <c r="M297" s="28"/>
      <c r="N297" s="28"/>
      <c r="O297" s="28">
        <v>16</v>
      </c>
      <c r="P297" s="28"/>
      <c r="Q297" s="28"/>
      <c r="R297" s="28"/>
      <c r="S297" s="28"/>
      <c r="T297" s="28"/>
      <c r="U297" s="28"/>
      <c r="V297" s="28"/>
      <c r="W297" s="28"/>
      <c r="X297" s="28"/>
      <c r="Y297" s="28" t="b">
        <f t="shared" si="8"/>
        <v>1</v>
      </c>
      <c r="Z297" s="28"/>
      <c r="AA297" s="28"/>
      <c r="AB297" s="28"/>
      <c r="AC297" s="28"/>
      <c r="AD297" s="28"/>
      <c r="AE297" s="28"/>
      <c r="AF297" s="28"/>
      <c r="AG297" s="28"/>
      <c r="AH297" s="33">
        <v>8</v>
      </c>
      <c r="AI297" s="28"/>
      <c r="AJ297" s="28"/>
      <c r="AK297" s="28"/>
      <c r="AL297" s="28"/>
      <c r="AM297" s="28"/>
      <c r="AN297" s="28"/>
      <c r="AO297" s="28"/>
      <c r="AP297" s="28"/>
      <c r="AQ297" s="28"/>
      <c r="AR297" s="33">
        <v>8</v>
      </c>
      <c r="AS297" s="28"/>
      <c r="AT297" s="28"/>
      <c r="AU297" s="28"/>
      <c r="AV297" s="28"/>
      <c r="AW297" s="28"/>
      <c r="AX297" s="28"/>
      <c r="AY297" s="28"/>
      <c r="AZ297" s="28"/>
      <c r="BA297" s="28"/>
      <c r="BB297" s="28">
        <f t="shared" si="9"/>
        <v>16</v>
      </c>
      <c r="BC297" s="28"/>
    </row>
    <row r="298" spans="1:55">
      <c r="A298" s="28">
        <v>296</v>
      </c>
      <c r="B298" s="29">
        <v>115513</v>
      </c>
      <c r="C298" s="28" t="s">
        <v>322</v>
      </c>
      <c r="D298" s="28"/>
      <c r="E298" s="28">
        <v>20190704</v>
      </c>
      <c r="F298" s="28"/>
      <c r="G298" s="29" t="s">
        <v>283</v>
      </c>
      <c r="H298" s="28" t="s">
        <v>288</v>
      </c>
      <c r="I298" s="28" t="s">
        <v>289</v>
      </c>
      <c r="J298" s="28" t="s">
        <v>54</v>
      </c>
      <c r="K298" s="28">
        <v>4</v>
      </c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 t="b">
        <f t="shared" si="8"/>
        <v>1</v>
      </c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31">
        <v>4</v>
      </c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>
        <f t="shared" si="9"/>
        <v>4</v>
      </c>
      <c r="BC298" s="28"/>
    </row>
    <row r="299" spans="1:55">
      <c r="A299" s="28">
        <v>297</v>
      </c>
      <c r="B299" s="29">
        <v>130035</v>
      </c>
      <c r="C299" s="28" t="s">
        <v>353</v>
      </c>
      <c r="D299" s="28"/>
      <c r="E299" s="28">
        <v>20240305</v>
      </c>
      <c r="F299" s="28"/>
      <c r="G299" s="29" t="s">
        <v>283</v>
      </c>
      <c r="H299" s="28" t="s">
        <v>288</v>
      </c>
      <c r="I299" s="28" t="s">
        <v>289</v>
      </c>
      <c r="J299" s="28" t="s">
        <v>54</v>
      </c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 t="b">
        <f t="shared" si="8"/>
        <v>1</v>
      </c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>
        <f t="shared" si="9"/>
        <v>0</v>
      </c>
      <c r="BC299" s="28"/>
    </row>
    <row r="300" spans="1:55">
      <c r="A300" s="28">
        <v>298</v>
      </c>
      <c r="B300" s="29">
        <v>131015</v>
      </c>
      <c r="C300" s="28" t="s">
        <v>362</v>
      </c>
      <c r="D300" s="28"/>
      <c r="E300" s="28">
        <v>20240711</v>
      </c>
      <c r="F300" s="28"/>
      <c r="G300" s="29" t="s">
        <v>283</v>
      </c>
      <c r="H300" s="28" t="s">
        <v>288</v>
      </c>
      <c r="I300" s="28" t="s">
        <v>289</v>
      </c>
      <c r="J300" s="28" t="s">
        <v>54</v>
      </c>
      <c r="K300" s="28"/>
      <c r="L300" s="28"/>
      <c r="M300" s="28"/>
      <c r="N300" s="28"/>
      <c r="O300" s="28">
        <v>8</v>
      </c>
      <c r="P300" s="28"/>
      <c r="Q300" s="28"/>
      <c r="R300" s="28"/>
      <c r="S300" s="28"/>
      <c r="T300" s="28"/>
      <c r="U300" s="28"/>
      <c r="V300" s="28"/>
      <c r="W300" s="28"/>
      <c r="X300" s="28"/>
      <c r="Y300" s="28" t="b">
        <f t="shared" si="8"/>
        <v>1</v>
      </c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33">
        <v>8</v>
      </c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>
        <f t="shared" si="9"/>
        <v>8</v>
      </c>
      <c r="BC300" s="28"/>
    </row>
    <row r="301" spans="1:55">
      <c r="A301" s="28">
        <v>299</v>
      </c>
      <c r="B301" s="29">
        <v>133041</v>
      </c>
      <c r="C301" s="28" t="s">
        <v>374</v>
      </c>
      <c r="D301" s="28"/>
      <c r="E301" s="28">
        <v>20241119</v>
      </c>
      <c r="F301" s="28"/>
      <c r="G301" s="29" t="s">
        <v>283</v>
      </c>
      <c r="H301" s="28" t="s">
        <v>288</v>
      </c>
      <c r="I301" s="28" t="s">
        <v>289</v>
      </c>
      <c r="J301" s="28" t="s">
        <v>54</v>
      </c>
      <c r="K301" s="28"/>
      <c r="L301" s="28"/>
      <c r="M301" s="28"/>
      <c r="N301" s="28"/>
      <c r="O301" s="28">
        <v>16</v>
      </c>
      <c r="P301" s="28"/>
      <c r="Q301" s="28"/>
      <c r="R301" s="28"/>
      <c r="S301" s="28"/>
      <c r="T301" s="28"/>
      <c r="U301" s="28"/>
      <c r="V301" s="28"/>
      <c r="W301" s="28"/>
      <c r="X301" s="28"/>
      <c r="Y301" s="28" t="b">
        <f t="shared" si="8"/>
        <v>1</v>
      </c>
      <c r="Z301" s="28"/>
      <c r="AA301" s="28"/>
      <c r="AB301" s="28"/>
      <c r="AC301" s="28"/>
      <c r="AD301" s="33">
        <v>8</v>
      </c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33">
        <v>8</v>
      </c>
      <c r="AU301" s="28"/>
      <c r="AV301" s="28"/>
      <c r="AW301" s="28"/>
      <c r="AX301" s="28"/>
      <c r="AY301" s="28"/>
      <c r="AZ301" s="28"/>
      <c r="BA301" s="28"/>
      <c r="BB301" s="28">
        <f t="shared" si="9"/>
        <v>16</v>
      </c>
      <c r="BC301" s="28"/>
    </row>
    <row r="302" spans="1:55">
      <c r="A302" s="28">
        <v>300</v>
      </c>
      <c r="B302" s="29">
        <v>134042</v>
      </c>
      <c r="C302" s="28" t="s">
        <v>373</v>
      </c>
      <c r="D302" s="28"/>
      <c r="E302" s="28">
        <v>20250305</v>
      </c>
      <c r="F302" s="28"/>
      <c r="G302" s="29" t="s">
        <v>283</v>
      </c>
      <c r="H302" s="28" t="s">
        <v>288</v>
      </c>
      <c r="I302" s="28" t="s">
        <v>289</v>
      </c>
      <c r="J302" s="28" t="s">
        <v>54</v>
      </c>
      <c r="K302" s="28"/>
      <c r="L302" s="28"/>
      <c r="M302" s="28">
        <v>16</v>
      </c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 t="b">
        <f t="shared" si="8"/>
        <v>1</v>
      </c>
      <c r="Z302" s="28"/>
      <c r="AA302" s="28"/>
      <c r="AB302" s="34">
        <v>8</v>
      </c>
      <c r="AC302" s="34">
        <v>8</v>
      </c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>
        <f t="shared" si="9"/>
        <v>16</v>
      </c>
      <c r="BC302" s="28"/>
    </row>
    <row r="303" spans="1:55">
      <c r="A303" s="28">
        <v>301</v>
      </c>
      <c r="B303" s="29">
        <v>134400</v>
      </c>
      <c r="C303" s="28" t="s">
        <v>394</v>
      </c>
      <c r="D303" s="28"/>
      <c r="E303" s="28">
        <v>20250423</v>
      </c>
      <c r="F303" s="28"/>
      <c r="G303" s="29" t="s">
        <v>283</v>
      </c>
      <c r="H303" s="28" t="s">
        <v>288</v>
      </c>
      <c r="I303" s="28" t="s">
        <v>289</v>
      </c>
      <c r="J303" s="28" t="s">
        <v>54</v>
      </c>
      <c r="K303" s="28">
        <v>12</v>
      </c>
      <c r="L303" s="28"/>
      <c r="M303" s="28">
        <v>14.95</v>
      </c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 t="b">
        <f t="shared" si="8"/>
        <v>1</v>
      </c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31">
        <v>8</v>
      </c>
      <c r="AR303" s="28"/>
      <c r="AS303" s="28"/>
      <c r="AT303" s="31">
        <v>4</v>
      </c>
      <c r="AU303" s="28"/>
      <c r="AV303" s="34">
        <v>6.95</v>
      </c>
      <c r="AW303" s="34">
        <v>8</v>
      </c>
      <c r="AX303" s="28"/>
      <c r="AY303" s="28"/>
      <c r="AZ303" s="28"/>
      <c r="BA303" s="28"/>
      <c r="BB303" s="28">
        <f t="shared" si="9"/>
        <v>26.95</v>
      </c>
      <c r="BC303" s="28"/>
    </row>
    <row r="304" spans="1:55">
      <c r="A304" s="28">
        <v>302</v>
      </c>
      <c r="B304" s="29">
        <v>134931</v>
      </c>
      <c r="C304" s="28" t="s">
        <v>305</v>
      </c>
      <c r="D304" s="28"/>
      <c r="E304" s="28">
        <v>20250520</v>
      </c>
      <c r="F304" s="28"/>
      <c r="G304" s="29" t="s">
        <v>283</v>
      </c>
      <c r="H304" s="28" t="s">
        <v>288</v>
      </c>
      <c r="I304" s="28" t="s">
        <v>289</v>
      </c>
      <c r="J304" s="28" t="s">
        <v>54</v>
      </c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 t="b">
        <f t="shared" si="8"/>
        <v>1</v>
      </c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>
        <f t="shared" si="9"/>
        <v>0</v>
      </c>
      <c r="BC304" s="28"/>
    </row>
    <row r="305" spans="1:55">
      <c r="A305" s="28">
        <v>303</v>
      </c>
      <c r="B305" s="29">
        <v>135023</v>
      </c>
      <c r="C305" s="28" t="s">
        <v>338</v>
      </c>
      <c r="D305" s="28"/>
      <c r="E305" s="28">
        <v>20250626</v>
      </c>
      <c r="F305" s="28"/>
      <c r="G305" s="29" t="s">
        <v>283</v>
      </c>
      <c r="H305" s="28" t="s">
        <v>288</v>
      </c>
      <c r="I305" s="28" t="s">
        <v>289</v>
      </c>
      <c r="J305" s="28" t="s">
        <v>54</v>
      </c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 t="b">
        <f t="shared" si="8"/>
        <v>1</v>
      </c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>
        <f t="shared" si="9"/>
        <v>0</v>
      </c>
      <c r="BC305" s="28"/>
    </row>
    <row r="306" spans="1:55">
      <c r="A306" s="28">
        <v>304</v>
      </c>
      <c r="B306" s="29">
        <v>135024</v>
      </c>
      <c r="C306" s="28" t="s">
        <v>402</v>
      </c>
      <c r="D306" s="28"/>
      <c r="E306" s="28">
        <v>20250626</v>
      </c>
      <c r="F306" s="28"/>
      <c r="G306" s="29" t="s">
        <v>283</v>
      </c>
      <c r="H306" s="28" t="s">
        <v>288</v>
      </c>
      <c r="I306" s="28" t="s">
        <v>289</v>
      </c>
      <c r="J306" s="28" t="s">
        <v>54</v>
      </c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 t="b">
        <f t="shared" si="8"/>
        <v>1</v>
      </c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>
        <f t="shared" si="9"/>
        <v>0</v>
      </c>
      <c r="BC306" s="28"/>
    </row>
    <row r="307" spans="1:55">
      <c r="A307" s="28">
        <v>305</v>
      </c>
      <c r="B307" s="29">
        <v>136015</v>
      </c>
      <c r="C307" s="28" t="s">
        <v>417</v>
      </c>
      <c r="D307" s="28"/>
      <c r="E307" s="28">
        <v>20260115</v>
      </c>
      <c r="F307" s="28"/>
      <c r="G307" s="29" t="s">
        <v>283</v>
      </c>
      <c r="H307" s="28" t="s">
        <v>288</v>
      </c>
      <c r="I307" s="28" t="s">
        <v>289</v>
      </c>
      <c r="J307" s="28" t="s">
        <v>58</v>
      </c>
      <c r="K307" s="28"/>
      <c r="L307" s="28">
        <v>4</v>
      </c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 t="b">
        <f t="shared" si="8"/>
        <v>1</v>
      </c>
      <c r="Z307" s="28"/>
      <c r="AA307" s="28"/>
      <c r="AB307" s="28"/>
      <c r="AC307" s="28"/>
      <c r="AD307" s="28"/>
      <c r="AE307" s="28"/>
      <c r="AF307" s="32">
        <v>4</v>
      </c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>
        <f t="shared" si="9"/>
        <v>4</v>
      </c>
      <c r="BC307" s="28"/>
    </row>
    <row r="308" spans="1:55">
      <c r="A308" s="28">
        <v>306</v>
      </c>
      <c r="B308" s="29">
        <v>136016</v>
      </c>
      <c r="C308" s="28" t="s">
        <v>419</v>
      </c>
      <c r="D308" s="28"/>
      <c r="E308" s="28">
        <v>20260115</v>
      </c>
      <c r="F308" s="28"/>
      <c r="G308" s="29" t="s">
        <v>283</v>
      </c>
      <c r="H308" s="28" t="s">
        <v>288</v>
      </c>
      <c r="I308" s="28" t="s">
        <v>289</v>
      </c>
      <c r="J308" s="28" t="s">
        <v>54</v>
      </c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 t="b">
        <f t="shared" si="8"/>
        <v>1</v>
      </c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>
        <f t="shared" si="9"/>
        <v>0</v>
      </c>
      <c r="BC308" s="28"/>
    </row>
    <row r="309" spans="1:55">
      <c r="A309" s="28">
        <v>307</v>
      </c>
      <c r="B309" s="29">
        <v>104727</v>
      </c>
      <c r="C309" s="28" t="s">
        <v>302</v>
      </c>
      <c r="D309" s="28"/>
      <c r="E309" s="28">
        <v>20161003</v>
      </c>
      <c r="F309" s="28"/>
      <c r="G309" s="29" t="s">
        <v>283</v>
      </c>
      <c r="H309" s="28" t="s">
        <v>303</v>
      </c>
      <c r="I309" s="28" t="s">
        <v>304</v>
      </c>
      <c r="J309" s="28" t="s">
        <v>54</v>
      </c>
      <c r="K309" s="28"/>
      <c r="L309" s="28"/>
      <c r="M309" s="28"/>
      <c r="N309" s="28"/>
      <c r="O309" s="28">
        <v>16</v>
      </c>
      <c r="P309" s="28"/>
      <c r="Q309" s="28"/>
      <c r="R309" s="28"/>
      <c r="S309" s="28"/>
      <c r="T309" s="28"/>
      <c r="U309" s="28"/>
      <c r="V309" s="28"/>
      <c r="W309" s="28"/>
      <c r="X309" s="28"/>
      <c r="Y309" s="28" t="b">
        <f t="shared" si="8"/>
        <v>1</v>
      </c>
      <c r="Z309" s="28"/>
      <c r="AA309" s="28"/>
      <c r="AB309" s="28"/>
      <c r="AC309" s="28"/>
      <c r="AD309" s="28"/>
      <c r="AE309" s="33">
        <v>8</v>
      </c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33">
        <v>8</v>
      </c>
      <c r="AX309" s="28"/>
      <c r="AY309" s="28"/>
      <c r="AZ309" s="28"/>
      <c r="BA309" s="28"/>
      <c r="BB309" s="28">
        <f t="shared" si="9"/>
        <v>16</v>
      </c>
      <c r="BC309" s="28"/>
    </row>
    <row r="310" spans="1:55">
      <c r="A310" s="28">
        <v>308</v>
      </c>
      <c r="B310" s="29">
        <v>118025</v>
      </c>
      <c r="C310" s="28" t="s">
        <v>325</v>
      </c>
      <c r="D310" s="28"/>
      <c r="E310" s="28">
        <v>20191024</v>
      </c>
      <c r="F310" s="28"/>
      <c r="G310" s="29" t="s">
        <v>283</v>
      </c>
      <c r="H310" s="28" t="s">
        <v>303</v>
      </c>
      <c r="I310" s="28" t="s">
        <v>304</v>
      </c>
      <c r="J310" s="28" t="s">
        <v>54</v>
      </c>
      <c r="K310" s="28">
        <v>4</v>
      </c>
      <c r="L310" s="28">
        <v>0.26</v>
      </c>
      <c r="M310" s="28"/>
      <c r="N310" s="28"/>
      <c r="O310" s="28">
        <v>16</v>
      </c>
      <c r="P310" s="28"/>
      <c r="Q310" s="28"/>
      <c r="R310" s="28"/>
      <c r="S310" s="28"/>
      <c r="T310" s="28"/>
      <c r="U310" s="28"/>
      <c r="V310" s="28"/>
      <c r="W310" s="28"/>
      <c r="X310" s="28"/>
      <c r="Y310" s="28" t="b">
        <f t="shared" si="8"/>
        <v>1</v>
      </c>
      <c r="Z310" s="28"/>
      <c r="AA310" s="28"/>
      <c r="AB310" s="28"/>
      <c r="AC310" s="28"/>
      <c r="AD310" s="28"/>
      <c r="AE310" s="28"/>
      <c r="AF310" s="31">
        <v>4</v>
      </c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32">
        <v>0.26</v>
      </c>
      <c r="AX310" s="33">
        <v>8</v>
      </c>
      <c r="AY310" s="33">
        <v>8</v>
      </c>
      <c r="AZ310" s="28"/>
      <c r="BA310" s="28"/>
      <c r="BB310" s="28">
        <f t="shared" si="9"/>
        <v>20.259999999999998</v>
      </c>
      <c r="BC310" s="28"/>
    </row>
    <row r="311" spans="1:55">
      <c r="A311" s="28">
        <v>309</v>
      </c>
      <c r="B311" s="29">
        <v>120782</v>
      </c>
      <c r="C311" s="28" t="s">
        <v>332</v>
      </c>
      <c r="D311" s="28"/>
      <c r="E311" s="28">
        <v>20200507</v>
      </c>
      <c r="F311" s="28"/>
      <c r="G311" s="29" t="s">
        <v>283</v>
      </c>
      <c r="H311" s="28" t="s">
        <v>303</v>
      </c>
      <c r="I311" s="28" t="s">
        <v>304</v>
      </c>
      <c r="J311" s="28" t="s">
        <v>54</v>
      </c>
      <c r="K311" s="28">
        <v>12</v>
      </c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 t="b">
        <f t="shared" si="8"/>
        <v>1</v>
      </c>
      <c r="Z311" s="28"/>
      <c r="AA311" s="28"/>
      <c r="AB311" s="28"/>
      <c r="AC311" s="31">
        <v>8</v>
      </c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31">
        <v>4</v>
      </c>
      <c r="AU311" s="28"/>
      <c r="AV311" s="28"/>
      <c r="AW311" s="28"/>
      <c r="AX311" s="28"/>
      <c r="AY311" s="28"/>
      <c r="AZ311" s="28"/>
      <c r="BA311" s="28"/>
      <c r="BB311" s="28">
        <f t="shared" si="9"/>
        <v>12</v>
      </c>
      <c r="BC311" s="28"/>
    </row>
    <row r="312" spans="1:55">
      <c r="A312" s="28">
        <v>310</v>
      </c>
      <c r="B312" s="41">
        <v>131864</v>
      </c>
      <c r="C312" s="40" t="s">
        <v>366</v>
      </c>
      <c r="D312" s="40"/>
      <c r="E312" s="40">
        <v>20240909</v>
      </c>
      <c r="F312" s="40">
        <v>20260201</v>
      </c>
      <c r="G312" s="41" t="s">
        <v>283</v>
      </c>
      <c r="H312" s="40" t="s">
        <v>303</v>
      </c>
      <c r="I312" s="40" t="s">
        <v>304</v>
      </c>
      <c r="J312" s="40" t="s">
        <v>54</v>
      </c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 t="b">
        <f t="shared" si="8"/>
        <v>1</v>
      </c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>
        <f t="shared" si="9"/>
        <v>0</v>
      </c>
      <c r="BC312" s="28"/>
    </row>
    <row r="313" spans="1:55">
      <c r="A313" s="28">
        <v>311</v>
      </c>
      <c r="B313" s="29">
        <v>132248</v>
      </c>
      <c r="C313" s="28" t="s">
        <v>367</v>
      </c>
      <c r="D313" s="28"/>
      <c r="E313" s="28">
        <v>20241001</v>
      </c>
      <c r="F313" s="28"/>
      <c r="G313" s="29" t="s">
        <v>283</v>
      </c>
      <c r="H313" s="28" t="s">
        <v>303</v>
      </c>
      <c r="I313" s="28" t="s">
        <v>304</v>
      </c>
      <c r="J313" s="28" t="s">
        <v>54</v>
      </c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 t="b">
        <f t="shared" si="8"/>
        <v>1</v>
      </c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>
        <f t="shared" si="9"/>
        <v>0</v>
      </c>
      <c r="BC313" s="28"/>
    </row>
    <row r="314" spans="1:55">
      <c r="A314" s="28">
        <v>312</v>
      </c>
      <c r="B314" s="29">
        <v>133748</v>
      </c>
      <c r="C314" s="28" t="s">
        <v>384</v>
      </c>
      <c r="D314" s="28"/>
      <c r="E314" s="28">
        <v>20250210</v>
      </c>
      <c r="F314" s="28"/>
      <c r="G314" s="29" t="s">
        <v>283</v>
      </c>
      <c r="H314" s="28" t="s">
        <v>303</v>
      </c>
      <c r="I314" s="28" t="s">
        <v>304</v>
      </c>
      <c r="J314" s="28" t="s">
        <v>54</v>
      </c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 t="b">
        <f t="shared" si="8"/>
        <v>1</v>
      </c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>
        <f t="shared" si="9"/>
        <v>0</v>
      </c>
      <c r="BC314" s="28"/>
    </row>
    <row r="315" spans="1:55">
      <c r="A315" s="28">
        <v>313</v>
      </c>
      <c r="B315" s="29">
        <v>133991</v>
      </c>
      <c r="C315" s="28" t="s">
        <v>388</v>
      </c>
      <c r="D315" s="28"/>
      <c r="E315" s="28">
        <v>20250303</v>
      </c>
      <c r="F315" s="28"/>
      <c r="G315" s="29" t="s">
        <v>283</v>
      </c>
      <c r="H315" s="28" t="s">
        <v>303</v>
      </c>
      <c r="I315" s="28" t="s">
        <v>304</v>
      </c>
      <c r="J315" s="28" t="s">
        <v>58</v>
      </c>
      <c r="K315" s="28">
        <v>8</v>
      </c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 t="b">
        <f t="shared" si="8"/>
        <v>1</v>
      </c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31">
        <v>8</v>
      </c>
      <c r="BA315" s="28"/>
      <c r="BB315" s="28">
        <f t="shared" si="9"/>
        <v>8</v>
      </c>
      <c r="BC315" s="28"/>
    </row>
    <row r="316" spans="1:55">
      <c r="A316" s="28">
        <v>314</v>
      </c>
      <c r="B316" s="29">
        <v>135824</v>
      </c>
      <c r="C316" s="28" t="s">
        <v>411</v>
      </c>
      <c r="D316" s="28"/>
      <c r="E316" s="28">
        <v>20251125</v>
      </c>
      <c r="F316" s="28"/>
      <c r="G316" s="29" t="s">
        <v>283</v>
      </c>
      <c r="H316" s="28" t="s">
        <v>303</v>
      </c>
      <c r="I316" s="28" t="s">
        <v>304</v>
      </c>
      <c r="J316" s="28" t="s">
        <v>54</v>
      </c>
      <c r="K316" s="28">
        <v>8</v>
      </c>
      <c r="L316" s="28">
        <v>4</v>
      </c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 t="b">
        <f t="shared" si="8"/>
        <v>1</v>
      </c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31">
        <v>8</v>
      </c>
      <c r="AX316" s="28"/>
      <c r="AY316" s="28"/>
      <c r="AZ316" s="28"/>
      <c r="BA316" s="32">
        <v>4</v>
      </c>
      <c r="BB316" s="28">
        <f t="shared" si="9"/>
        <v>12</v>
      </c>
      <c r="BC316" s="28"/>
    </row>
    <row r="317" spans="1:55">
      <c r="A317" s="28">
        <v>315</v>
      </c>
      <c r="B317" s="45">
        <v>135825</v>
      </c>
      <c r="C317" s="44" t="s">
        <v>412</v>
      </c>
      <c r="D317" s="44"/>
      <c r="E317" s="44">
        <v>20251125</v>
      </c>
      <c r="F317" s="44">
        <v>20260205</v>
      </c>
      <c r="G317" s="45" t="s">
        <v>283</v>
      </c>
      <c r="H317" s="44" t="s">
        <v>303</v>
      </c>
      <c r="I317" s="44" t="s">
        <v>304</v>
      </c>
      <c r="J317" s="44" t="s">
        <v>54</v>
      </c>
      <c r="K317" s="28"/>
      <c r="L317" s="28">
        <v>8</v>
      </c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>
        <v>24</v>
      </c>
      <c r="Y317" s="28" t="b">
        <f t="shared" si="8"/>
        <v>1</v>
      </c>
      <c r="Z317" s="28"/>
      <c r="AA317" s="32">
        <v>8</v>
      </c>
      <c r="AB317" s="39">
        <v>8</v>
      </c>
      <c r="AC317" s="39">
        <v>8</v>
      </c>
      <c r="AD317" s="39">
        <v>8</v>
      </c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>
        <f t="shared" si="9"/>
        <v>32</v>
      </c>
      <c r="BC317" s="28"/>
    </row>
    <row r="318" spans="1:55">
      <c r="A318" s="28">
        <v>316</v>
      </c>
      <c r="B318" s="29">
        <v>135891</v>
      </c>
      <c r="C318" s="28" t="s">
        <v>416</v>
      </c>
      <c r="D318" s="28"/>
      <c r="E318" s="28">
        <v>20251217</v>
      </c>
      <c r="F318" s="28"/>
      <c r="G318" s="29" t="s">
        <v>283</v>
      </c>
      <c r="H318" s="28" t="s">
        <v>303</v>
      </c>
      <c r="I318" s="28" t="s">
        <v>304</v>
      </c>
      <c r="J318" s="28" t="s">
        <v>58</v>
      </c>
      <c r="K318" s="28">
        <v>8</v>
      </c>
      <c r="L318" s="28">
        <v>14</v>
      </c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 t="b">
        <f t="shared" si="8"/>
        <v>1</v>
      </c>
      <c r="Z318" s="28"/>
      <c r="AA318" s="28"/>
      <c r="AB318" s="28"/>
      <c r="AC318" s="28"/>
      <c r="AD318" s="32">
        <v>6</v>
      </c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31">
        <v>8</v>
      </c>
      <c r="AS318" s="28"/>
      <c r="AT318" s="28"/>
      <c r="AU318" s="28"/>
      <c r="AV318" s="28"/>
      <c r="AW318" s="28"/>
      <c r="AX318" s="32">
        <v>8</v>
      </c>
      <c r="AY318" s="28"/>
      <c r="AZ318" s="28"/>
      <c r="BA318" s="28"/>
      <c r="BB318" s="28">
        <f t="shared" si="9"/>
        <v>22</v>
      </c>
      <c r="BC318" s="28"/>
    </row>
    <row r="319" spans="1:55">
      <c r="A319" s="28">
        <v>317</v>
      </c>
      <c r="B319" s="29">
        <v>135892</v>
      </c>
      <c r="C319" s="28" t="s">
        <v>334</v>
      </c>
      <c r="D319" s="28"/>
      <c r="E319" s="28">
        <v>20251217</v>
      </c>
      <c r="F319" s="28"/>
      <c r="G319" s="29" t="s">
        <v>283</v>
      </c>
      <c r="H319" s="28" t="s">
        <v>303</v>
      </c>
      <c r="I319" s="28" t="s">
        <v>304</v>
      </c>
      <c r="J319" s="28" t="s">
        <v>54</v>
      </c>
      <c r="K319" s="28"/>
      <c r="L319" s="28">
        <v>3.5</v>
      </c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 t="b">
        <f t="shared" si="8"/>
        <v>1</v>
      </c>
      <c r="Z319" s="28"/>
      <c r="AA319" s="32">
        <v>3.5</v>
      </c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>
        <f t="shared" si="9"/>
        <v>3.5</v>
      </c>
      <c r="BC319" s="28"/>
    </row>
    <row r="320" spans="1:55">
      <c r="A320" s="28">
        <v>318</v>
      </c>
      <c r="B320" s="29">
        <v>109188</v>
      </c>
      <c r="C320" s="28" t="s">
        <v>314</v>
      </c>
      <c r="D320" s="28"/>
      <c r="E320" s="28">
        <v>20170704</v>
      </c>
      <c r="F320" s="28"/>
      <c r="G320" s="29" t="s">
        <v>283</v>
      </c>
      <c r="H320" s="28" t="s">
        <v>315</v>
      </c>
      <c r="I320" s="28" t="s">
        <v>316</v>
      </c>
      <c r="J320" s="28" t="s">
        <v>54</v>
      </c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 t="b">
        <f t="shared" si="8"/>
        <v>1</v>
      </c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>
        <f t="shared" si="9"/>
        <v>0</v>
      </c>
      <c r="BC320" s="28"/>
    </row>
    <row r="321" spans="1:55">
      <c r="A321" s="28">
        <v>319</v>
      </c>
      <c r="B321" s="29">
        <v>110451</v>
      </c>
      <c r="C321" s="28" t="s">
        <v>319</v>
      </c>
      <c r="D321" s="28"/>
      <c r="E321" s="28">
        <v>20180222</v>
      </c>
      <c r="F321" s="28"/>
      <c r="G321" s="29" t="s">
        <v>283</v>
      </c>
      <c r="H321" s="28" t="s">
        <v>315</v>
      </c>
      <c r="I321" s="28" t="s">
        <v>316</v>
      </c>
      <c r="J321" s="28" t="s">
        <v>58</v>
      </c>
      <c r="K321" s="28">
        <v>8</v>
      </c>
      <c r="L321" s="28">
        <v>8.5</v>
      </c>
      <c r="M321" s="28"/>
      <c r="N321" s="28">
        <v>48</v>
      </c>
      <c r="O321" s="28">
        <v>32</v>
      </c>
      <c r="P321" s="28"/>
      <c r="Q321" s="28"/>
      <c r="R321" s="28"/>
      <c r="S321" s="28"/>
      <c r="T321" s="28"/>
      <c r="U321" s="28"/>
      <c r="V321" s="28"/>
      <c r="W321" s="28"/>
      <c r="X321" s="28"/>
      <c r="Y321" s="28" t="b">
        <f t="shared" si="8"/>
        <v>1</v>
      </c>
      <c r="Z321" s="28"/>
      <c r="AA321" s="34">
        <v>8</v>
      </c>
      <c r="AB321" s="34">
        <v>8</v>
      </c>
      <c r="AC321" s="34">
        <v>8</v>
      </c>
      <c r="AD321" s="34">
        <v>8</v>
      </c>
      <c r="AE321" s="34">
        <v>8</v>
      </c>
      <c r="AF321" s="28"/>
      <c r="AG321" s="28"/>
      <c r="AH321" s="28"/>
      <c r="AI321" s="28"/>
      <c r="AJ321" s="31">
        <v>8</v>
      </c>
      <c r="AK321" s="28"/>
      <c r="AL321" s="28"/>
      <c r="AM321" s="28"/>
      <c r="AN321" s="28"/>
      <c r="AO321" s="28"/>
      <c r="AP321" s="28"/>
      <c r="AQ321" s="28"/>
      <c r="AR321" s="34">
        <v>8</v>
      </c>
      <c r="AS321" s="28"/>
      <c r="AT321" s="28"/>
      <c r="AU321" s="28"/>
      <c r="AV321" s="33">
        <v>8</v>
      </c>
      <c r="AW321" s="33">
        <v>8</v>
      </c>
      <c r="AX321" s="33">
        <v>8</v>
      </c>
      <c r="AY321" s="33">
        <v>8</v>
      </c>
      <c r="AZ321" s="32">
        <v>4.5</v>
      </c>
      <c r="BA321" s="32">
        <v>4</v>
      </c>
      <c r="BB321" s="28">
        <f t="shared" si="9"/>
        <v>96.5</v>
      </c>
      <c r="BC321" s="28"/>
    </row>
    <row r="322" spans="1:55">
      <c r="A322" s="28">
        <v>320</v>
      </c>
      <c r="B322" s="29">
        <v>112008</v>
      </c>
      <c r="C322" s="28" t="s">
        <v>320</v>
      </c>
      <c r="D322" s="28"/>
      <c r="E322" s="28">
        <v>20180619</v>
      </c>
      <c r="F322" s="28"/>
      <c r="G322" s="29" t="s">
        <v>283</v>
      </c>
      <c r="H322" s="28" t="s">
        <v>315</v>
      </c>
      <c r="I322" s="28" t="s">
        <v>316</v>
      </c>
      <c r="J322" s="28" t="s">
        <v>58</v>
      </c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 t="b">
        <f t="shared" si="8"/>
        <v>1</v>
      </c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>
        <f t="shared" si="9"/>
        <v>0</v>
      </c>
      <c r="BC322" s="28"/>
    </row>
    <row r="323" spans="1:55">
      <c r="A323" s="28">
        <v>321</v>
      </c>
      <c r="B323" s="29">
        <v>124548</v>
      </c>
      <c r="C323" s="28" t="s">
        <v>333</v>
      </c>
      <c r="D323" s="28"/>
      <c r="E323" s="28">
        <v>20220113</v>
      </c>
      <c r="F323" s="28"/>
      <c r="G323" s="29" t="s">
        <v>283</v>
      </c>
      <c r="H323" s="28" t="s">
        <v>315</v>
      </c>
      <c r="I323" s="28" t="s">
        <v>316</v>
      </c>
      <c r="J323" s="28" t="s">
        <v>54</v>
      </c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 t="b">
        <f t="shared" ref="Y323:Y334" si="10">SUM(K323:X323)=SUM(Z323:BA323)</f>
        <v>1</v>
      </c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>
        <f t="shared" ref="BB323:BB334" si="11">SUM(Z323:BA323)</f>
        <v>0</v>
      </c>
      <c r="BC323" s="28"/>
    </row>
    <row r="324" spans="1:55">
      <c r="A324" s="28">
        <v>322</v>
      </c>
      <c r="B324" s="29">
        <v>130305</v>
      </c>
      <c r="C324" s="28" t="s">
        <v>355</v>
      </c>
      <c r="D324" s="28"/>
      <c r="E324" s="28">
        <v>20240321</v>
      </c>
      <c r="F324" s="28"/>
      <c r="G324" s="29" t="s">
        <v>283</v>
      </c>
      <c r="H324" s="28" t="s">
        <v>315</v>
      </c>
      <c r="I324" s="28" t="s">
        <v>316</v>
      </c>
      <c r="J324" s="28" t="s">
        <v>58</v>
      </c>
      <c r="K324" s="28">
        <v>8</v>
      </c>
      <c r="L324" s="28">
        <v>15.54</v>
      </c>
      <c r="M324" s="28"/>
      <c r="N324" s="28"/>
      <c r="O324" s="28">
        <v>8</v>
      </c>
      <c r="P324" s="28"/>
      <c r="Q324" s="28"/>
      <c r="R324" s="28"/>
      <c r="S324" s="28"/>
      <c r="T324" s="28"/>
      <c r="U324" s="28"/>
      <c r="V324" s="28"/>
      <c r="W324" s="28"/>
      <c r="X324" s="28"/>
      <c r="Y324" s="28" t="b">
        <f t="shared" si="10"/>
        <v>1</v>
      </c>
      <c r="Z324" s="28"/>
      <c r="AA324" s="28"/>
      <c r="AB324" s="28"/>
      <c r="AC324" s="28"/>
      <c r="AD324" s="28"/>
      <c r="AE324" s="32">
        <v>4.71</v>
      </c>
      <c r="AF324" s="28"/>
      <c r="AG324" s="28"/>
      <c r="AH324" s="28"/>
      <c r="AI324" s="32">
        <v>0.83</v>
      </c>
      <c r="AJ324" s="28"/>
      <c r="AK324" s="28"/>
      <c r="AL324" s="28"/>
      <c r="AM324" s="32">
        <v>4</v>
      </c>
      <c r="AN324" s="28"/>
      <c r="AO324" s="28"/>
      <c r="AP324" s="28"/>
      <c r="AQ324" s="28"/>
      <c r="AR324" s="31">
        <v>8</v>
      </c>
      <c r="AS324" s="28"/>
      <c r="AT324" s="28"/>
      <c r="AU324" s="28"/>
      <c r="AV324" s="28"/>
      <c r="AW324" s="33">
        <v>8</v>
      </c>
      <c r="AX324" s="32">
        <v>2</v>
      </c>
      <c r="AY324" s="28"/>
      <c r="AZ324" s="28"/>
      <c r="BA324" s="32">
        <v>4</v>
      </c>
      <c r="BB324" s="28">
        <f t="shared" si="11"/>
        <v>31.54</v>
      </c>
      <c r="BC324" s="28"/>
    </row>
    <row r="325" spans="1:55">
      <c r="A325" s="28">
        <v>323</v>
      </c>
      <c r="B325" s="29">
        <v>134934</v>
      </c>
      <c r="C325" s="28" t="s">
        <v>400</v>
      </c>
      <c r="D325" s="28"/>
      <c r="E325" s="28">
        <v>20250522</v>
      </c>
      <c r="F325" s="28"/>
      <c r="G325" s="29" t="s">
        <v>283</v>
      </c>
      <c r="H325" s="28" t="s">
        <v>315</v>
      </c>
      <c r="I325" s="28" t="s">
        <v>316</v>
      </c>
      <c r="J325" s="28" t="s">
        <v>54</v>
      </c>
      <c r="K325" s="28">
        <v>8</v>
      </c>
      <c r="L325" s="28">
        <v>29.36</v>
      </c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 t="b">
        <f t="shared" si="10"/>
        <v>1</v>
      </c>
      <c r="Z325" s="28"/>
      <c r="AA325" s="28"/>
      <c r="AB325" s="28"/>
      <c r="AC325" s="28"/>
      <c r="AD325" s="31">
        <v>8</v>
      </c>
      <c r="AE325" s="28"/>
      <c r="AF325" s="28"/>
      <c r="AG325" s="28"/>
      <c r="AH325" s="32">
        <v>4.5</v>
      </c>
      <c r="AI325" s="28"/>
      <c r="AJ325" s="32">
        <v>8</v>
      </c>
      <c r="AK325" s="28"/>
      <c r="AL325" s="28"/>
      <c r="AM325" s="32">
        <v>0.86</v>
      </c>
      <c r="AN325" s="28"/>
      <c r="AO325" s="28"/>
      <c r="AP325" s="28"/>
      <c r="AQ325" s="32">
        <v>8</v>
      </c>
      <c r="AR325" s="32">
        <v>8</v>
      </c>
      <c r="AS325" s="28"/>
      <c r="AT325" s="28"/>
      <c r="AU325" s="28"/>
      <c r="AV325" s="28"/>
      <c r="AW325" s="28"/>
      <c r="AX325" s="28"/>
      <c r="AY325" s="28"/>
      <c r="AZ325" s="28"/>
      <c r="BA325" s="28"/>
      <c r="BB325" s="28">
        <f t="shared" si="11"/>
        <v>37.36</v>
      </c>
      <c r="BC325" s="28"/>
    </row>
    <row r="326" spans="1:55">
      <c r="A326" s="28">
        <v>324</v>
      </c>
      <c r="B326" s="41">
        <v>135038</v>
      </c>
      <c r="C326" s="40" t="s">
        <v>403</v>
      </c>
      <c r="D326" s="40"/>
      <c r="E326" s="40">
        <v>20250701</v>
      </c>
      <c r="F326" s="40">
        <v>20260228</v>
      </c>
      <c r="G326" s="41" t="s">
        <v>283</v>
      </c>
      <c r="H326" s="40" t="s">
        <v>315</v>
      </c>
      <c r="I326" s="40" t="s">
        <v>316</v>
      </c>
      <c r="J326" s="40" t="s">
        <v>54</v>
      </c>
      <c r="K326" s="28"/>
      <c r="L326" s="28">
        <v>8.5</v>
      </c>
      <c r="M326" s="28">
        <v>24</v>
      </c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 t="b">
        <f t="shared" si="10"/>
        <v>1</v>
      </c>
      <c r="Z326" s="28"/>
      <c r="AA326" s="28"/>
      <c r="AB326" s="28"/>
      <c r="AC326" s="28"/>
      <c r="AD326" s="34">
        <v>8</v>
      </c>
      <c r="AE326" s="34">
        <v>8</v>
      </c>
      <c r="AF326" s="28"/>
      <c r="AG326" s="28"/>
      <c r="AH326" s="28"/>
      <c r="AI326" s="28"/>
      <c r="AJ326" s="28"/>
      <c r="AK326" s="28"/>
      <c r="AL326" s="28"/>
      <c r="AM326" s="32">
        <v>4</v>
      </c>
      <c r="AN326" s="28"/>
      <c r="AO326" s="28"/>
      <c r="AP326" s="28"/>
      <c r="AQ326" s="28"/>
      <c r="AR326" s="34">
        <v>8</v>
      </c>
      <c r="AS326" s="28"/>
      <c r="AT326" s="28"/>
      <c r="AU326" s="28"/>
      <c r="AV326" s="28"/>
      <c r="AW326" s="28"/>
      <c r="AX326" s="28"/>
      <c r="AY326" s="32">
        <v>4.5</v>
      </c>
      <c r="AZ326" s="28"/>
      <c r="BA326" s="28"/>
      <c r="BB326" s="28">
        <f t="shared" si="11"/>
        <v>32.5</v>
      </c>
      <c r="BC326" s="28"/>
    </row>
    <row r="327" spans="1:55">
      <c r="A327" s="28">
        <v>325</v>
      </c>
      <c r="B327" s="29">
        <v>135507</v>
      </c>
      <c r="C327" s="28" t="s">
        <v>408</v>
      </c>
      <c r="D327" s="28"/>
      <c r="E327" s="28">
        <v>20250923</v>
      </c>
      <c r="F327" s="28"/>
      <c r="G327" s="29" t="s">
        <v>283</v>
      </c>
      <c r="H327" s="28" t="s">
        <v>315</v>
      </c>
      <c r="I327" s="28" t="s">
        <v>316</v>
      </c>
      <c r="J327" s="28" t="s">
        <v>58</v>
      </c>
      <c r="K327" s="28">
        <v>8</v>
      </c>
      <c r="L327" s="28"/>
      <c r="M327" s="28">
        <v>8</v>
      </c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 t="b">
        <f t="shared" si="10"/>
        <v>1</v>
      </c>
      <c r="Z327" s="28"/>
      <c r="AA327" s="31">
        <v>8</v>
      </c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34">
        <v>8</v>
      </c>
      <c r="AS327" s="28"/>
      <c r="AT327" s="28"/>
      <c r="AU327" s="28"/>
      <c r="AV327" s="28"/>
      <c r="AW327" s="28"/>
      <c r="AX327" s="28"/>
      <c r="AY327" s="28"/>
      <c r="AZ327" s="28"/>
      <c r="BA327" s="28"/>
      <c r="BB327" s="28">
        <f t="shared" si="11"/>
        <v>16</v>
      </c>
      <c r="BC327" s="28"/>
    </row>
    <row r="328" spans="1:55">
      <c r="A328" s="28">
        <v>326</v>
      </c>
      <c r="B328" s="29">
        <v>136272</v>
      </c>
      <c r="C328" s="28" t="s">
        <v>432</v>
      </c>
      <c r="D328" s="28"/>
      <c r="E328" s="28">
        <v>20260226</v>
      </c>
      <c r="F328" s="28"/>
      <c r="G328" s="29" t="s">
        <v>283</v>
      </c>
      <c r="H328" s="28" t="s">
        <v>315</v>
      </c>
      <c r="I328" s="28" t="s">
        <v>316</v>
      </c>
      <c r="J328" s="28" t="s">
        <v>54</v>
      </c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 t="b">
        <f t="shared" si="10"/>
        <v>1</v>
      </c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>
        <f t="shared" si="11"/>
        <v>0</v>
      </c>
      <c r="BC328" s="28"/>
    </row>
    <row r="329" spans="1:55">
      <c r="A329" s="28">
        <v>327</v>
      </c>
      <c r="B329" s="29">
        <v>127635</v>
      </c>
      <c r="C329" s="28" t="s">
        <v>340</v>
      </c>
      <c r="D329" s="28"/>
      <c r="E329" s="28">
        <v>20220614</v>
      </c>
      <c r="F329" s="28"/>
      <c r="G329" s="29" t="s">
        <v>283</v>
      </c>
      <c r="H329" s="28" t="s">
        <v>341</v>
      </c>
      <c r="I329" s="28" t="s">
        <v>133</v>
      </c>
      <c r="J329" s="28" t="s">
        <v>54</v>
      </c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 t="b">
        <f t="shared" si="10"/>
        <v>1</v>
      </c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>
        <f t="shared" si="11"/>
        <v>0</v>
      </c>
      <c r="BC329" s="28"/>
    </row>
    <row r="330" spans="1:55">
      <c r="A330" s="28">
        <v>328</v>
      </c>
      <c r="B330" s="29">
        <v>132669</v>
      </c>
      <c r="C330" s="28" t="s">
        <v>297</v>
      </c>
      <c r="D330" s="28"/>
      <c r="E330" s="28">
        <v>20241025</v>
      </c>
      <c r="F330" s="28"/>
      <c r="G330" s="29" t="s">
        <v>283</v>
      </c>
      <c r="H330" s="28" t="s">
        <v>341</v>
      </c>
      <c r="I330" s="28" t="s">
        <v>133</v>
      </c>
      <c r="J330" s="28" t="s">
        <v>54</v>
      </c>
      <c r="K330" s="28"/>
      <c r="L330" s="28">
        <v>0.25</v>
      </c>
      <c r="M330" s="28"/>
      <c r="N330" s="28"/>
      <c r="O330" s="28">
        <v>16</v>
      </c>
      <c r="P330" s="28"/>
      <c r="Q330" s="28"/>
      <c r="R330" s="28"/>
      <c r="S330" s="28"/>
      <c r="T330" s="28"/>
      <c r="U330" s="28"/>
      <c r="V330" s="28"/>
      <c r="W330" s="28"/>
      <c r="X330" s="28"/>
      <c r="Y330" s="28" t="b">
        <f t="shared" si="10"/>
        <v>1</v>
      </c>
      <c r="Z330" s="28"/>
      <c r="AA330" s="32">
        <v>0.25</v>
      </c>
      <c r="AB330" s="28"/>
      <c r="AC330" s="33">
        <v>8</v>
      </c>
      <c r="AD330" s="28"/>
      <c r="AE330" s="28"/>
      <c r="AF330" s="28"/>
      <c r="AG330" s="28"/>
      <c r="AH330" s="28"/>
      <c r="AI330" s="33">
        <v>8</v>
      </c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>
        <f t="shared" si="11"/>
        <v>16.25</v>
      </c>
      <c r="BC330" s="28"/>
    </row>
    <row r="331" spans="1:55">
      <c r="A331" s="28">
        <v>329</v>
      </c>
      <c r="B331" s="29">
        <v>132801</v>
      </c>
      <c r="C331" s="28" t="s">
        <v>370</v>
      </c>
      <c r="D331" s="28"/>
      <c r="E331" s="28">
        <v>20241104</v>
      </c>
      <c r="F331" s="28"/>
      <c r="G331" s="29" t="s">
        <v>283</v>
      </c>
      <c r="H331" s="28" t="s">
        <v>341</v>
      </c>
      <c r="I331" s="28" t="s">
        <v>133</v>
      </c>
      <c r="J331" s="28" t="s">
        <v>54</v>
      </c>
      <c r="K331" s="28"/>
      <c r="L331" s="28"/>
      <c r="M331" s="28"/>
      <c r="N331" s="28"/>
      <c r="O331" s="28">
        <v>24</v>
      </c>
      <c r="P331" s="28"/>
      <c r="Q331" s="28"/>
      <c r="R331" s="28"/>
      <c r="S331" s="28"/>
      <c r="T331" s="28"/>
      <c r="U331" s="28"/>
      <c r="V331" s="28"/>
      <c r="W331" s="28"/>
      <c r="X331" s="28"/>
      <c r="Y331" s="28" t="b">
        <f t="shared" si="10"/>
        <v>1</v>
      </c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33">
        <v>8</v>
      </c>
      <c r="AW331" s="33">
        <v>8</v>
      </c>
      <c r="AX331" s="33">
        <v>8</v>
      </c>
      <c r="AY331" s="28"/>
      <c r="AZ331" s="28"/>
      <c r="BA331" s="28"/>
      <c r="BB331" s="28">
        <f t="shared" si="11"/>
        <v>24</v>
      </c>
      <c r="BC331" s="28"/>
    </row>
    <row r="332" spans="1:55">
      <c r="A332" s="28">
        <v>330</v>
      </c>
      <c r="B332" s="29">
        <v>500112</v>
      </c>
      <c r="C332" s="28" t="s">
        <v>421</v>
      </c>
      <c r="D332" s="28"/>
      <c r="E332" s="28">
        <v>20150721</v>
      </c>
      <c r="F332" s="28"/>
      <c r="G332" s="29" t="s">
        <v>283</v>
      </c>
      <c r="H332" s="28" t="s">
        <v>341</v>
      </c>
      <c r="I332" s="28" t="s">
        <v>133</v>
      </c>
      <c r="J332" s="28" t="s">
        <v>54</v>
      </c>
      <c r="K332" s="28"/>
      <c r="L332" s="28">
        <v>2.1799999999999997</v>
      </c>
      <c r="M332" s="28"/>
      <c r="N332" s="28"/>
      <c r="O332" s="28">
        <v>8</v>
      </c>
      <c r="P332" s="28"/>
      <c r="Q332" s="28"/>
      <c r="R332" s="28"/>
      <c r="S332" s="28"/>
      <c r="T332" s="28"/>
      <c r="U332" s="28"/>
      <c r="V332" s="28"/>
      <c r="W332" s="28"/>
      <c r="X332" s="28"/>
      <c r="Y332" s="28" t="b">
        <f t="shared" si="10"/>
        <v>1</v>
      </c>
      <c r="Z332" s="28"/>
      <c r="AA332" s="28"/>
      <c r="AB332" s="28"/>
      <c r="AC332" s="28"/>
      <c r="AD332" s="28"/>
      <c r="AE332" s="32">
        <v>0.73</v>
      </c>
      <c r="AF332" s="32">
        <v>0.5</v>
      </c>
      <c r="AG332" s="28"/>
      <c r="AH332" s="32">
        <v>0.95</v>
      </c>
      <c r="AI332" s="28"/>
      <c r="AJ332" s="28"/>
      <c r="AK332" s="28"/>
      <c r="AL332" s="28"/>
      <c r="AM332" s="28"/>
      <c r="AN332" s="28"/>
      <c r="AO332" s="28"/>
      <c r="AP332" s="28"/>
      <c r="AQ332" s="33">
        <v>8</v>
      </c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>
        <f t="shared" si="11"/>
        <v>10.18</v>
      </c>
      <c r="BC332" s="28"/>
    </row>
    <row r="333" spans="1:55">
      <c r="A333" s="28">
        <v>331</v>
      </c>
      <c r="B333" s="29">
        <v>501260</v>
      </c>
      <c r="C333" s="28" t="s">
        <v>422</v>
      </c>
      <c r="D333" s="28"/>
      <c r="E333" s="28">
        <v>20241205</v>
      </c>
      <c r="F333" s="28"/>
      <c r="G333" s="29" t="s">
        <v>283</v>
      </c>
      <c r="H333" s="28" t="s">
        <v>341</v>
      </c>
      <c r="I333" s="28" t="s">
        <v>133</v>
      </c>
      <c r="J333" s="28" t="s">
        <v>58</v>
      </c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 t="b">
        <f t="shared" si="10"/>
        <v>1</v>
      </c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>
        <f t="shared" si="11"/>
        <v>0</v>
      </c>
      <c r="BC333" s="28"/>
    </row>
    <row r="334" spans="1:55">
      <c r="A334" s="28">
        <v>332</v>
      </c>
      <c r="B334" s="29">
        <v>501288</v>
      </c>
      <c r="C334" s="28" t="s">
        <v>423</v>
      </c>
      <c r="D334" s="28"/>
      <c r="E334" s="28">
        <v>20250610</v>
      </c>
      <c r="F334" s="28"/>
      <c r="G334" s="29" t="s">
        <v>283</v>
      </c>
      <c r="H334" s="28" t="s">
        <v>341</v>
      </c>
      <c r="I334" s="28" t="s">
        <v>133</v>
      </c>
      <c r="J334" s="28" t="s">
        <v>58</v>
      </c>
      <c r="K334" s="28"/>
      <c r="L334" s="28">
        <v>8</v>
      </c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 t="b">
        <f t="shared" si="10"/>
        <v>1</v>
      </c>
      <c r="Z334" s="28"/>
      <c r="AA334" s="28"/>
      <c r="AB334" s="28"/>
      <c r="AC334" s="28"/>
      <c r="AD334" s="32">
        <v>8</v>
      </c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>
        <f t="shared" si="11"/>
        <v>8</v>
      </c>
      <c r="BC334" s="28"/>
    </row>
  </sheetData>
  <autoFilter ref="A1:BC334"/>
  <mergeCells count="13">
    <mergeCell ref="F1:F2"/>
    <mergeCell ref="A1:A2"/>
    <mergeCell ref="B1:B2"/>
    <mergeCell ref="C1:C2"/>
    <mergeCell ref="D1:D2"/>
    <mergeCell ref="E1:E2"/>
    <mergeCell ref="BC1:BC2"/>
    <mergeCell ref="G1:G2"/>
    <mergeCell ref="H1:H2"/>
    <mergeCell ref="I1:I2"/>
    <mergeCell ref="J1:J2"/>
    <mergeCell ref="Y1:Y2"/>
    <mergeCell ref="BB1:BB2"/>
  </mergeCells>
  <conditionalFormatting sqref="Z2:BA334">
    <cfRule type="expression" dxfId="19" priority="1" stopIfTrue="1">
      <formula>AND(TEXT(Z$2,"ddd")="Sun",OR(Z2="Sun",Z2&lt;0.001))</formula>
    </cfRule>
    <cfRule type="expression" dxfId="18" priority="2" stopIfTrue="1">
      <formula>AND(LEFT(Z$2,3)="Hol",OR(LEFT(Z2,3)="Hol",Z2&lt;0.001))</formula>
    </cfRule>
  </conditionalFormatting>
  <conditionalFormatting sqref="K3:X334">
    <cfRule type="expression" dxfId="17" priority="3" stopIfTrue="1">
      <formula>AND(K$1="Casual",K3&gt;0)</formula>
    </cfRule>
    <cfRule type="expression" dxfId="16" priority="4" stopIfTrue="1">
      <formula>AND(K$1="Unpaid",K3&gt;0)</formula>
    </cfRule>
    <cfRule type="expression" dxfId="15" priority="5" stopIfTrue="1">
      <formula>AND(OR(LEFT(K$1,8)="SSB Sick",LEFT(K$1,4)="Sick"),K3&gt;0)</formula>
    </cfRule>
    <cfRule type="expression" dxfId="14" priority="6" stopIfTrue="1">
      <formula>AND(K$1="Earned",K3&gt;0)</formula>
    </cfRule>
    <cfRule type="expression" dxfId="13" priority="7" stopIfTrue="1">
      <formula>AND(K$1="OG",K3&gt;0)</formula>
    </cfRule>
    <cfRule type="expression" dxfId="12" priority="8" stopIfTrue="1">
      <formula>AND(K$1="Maternity",K3&gt;0)</formula>
    </cfRule>
    <cfRule type="expression" dxfId="11" priority="9" stopIfTrue="1">
      <formula>AND(K$1="Paternity",K3&gt;0)</formula>
    </cfRule>
    <cfRule type="expression" dxfId="10" priority="10" stopIfTrue="1">
      <formula>AND(K$1="Official",K3&gt;0)</formula>
    </cfRule>
    <cfRule type="expression" dxfId="9" priority="11" stopIfTrue="1">
      <formula>AND(OR(LEFT(K$1,11)="Paid Injury",LEFT(K$1,13)="UnPaid Injury"),K3&gt;0)</formula>
    </cfRule>
    <cfRule type="expression" dxfId="8" priority="12" stopIfTrue="1">
      <formula>AND(K$1="Other",K3&gt;0)</formula>
    </cfRule>
    <cfRule type="expression" dxfId="7" priority="13" stopIfTrue="1">
      <formula>AND(K$1="Business",K3&gt;0)</formula>
    </cfRule>
    <cfRule type="expression" dxfId="6" priority="14" stopIfTrue="1">
      <formula>AND(K$1="Absent",K3&gt;0)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N334"/>
  <sheetViews>
    <sheetView workbookViewId="0">
      <selection activeCell="A3" sqref="A3:A334"/>
    </sheetView>
  </sheetViews>
  <sheetFormatPr defaultRowHeight="15"/>
  <cols>
    <col min="3" max="3" width="18.7109375" customWidth="1"/>
    <col min="9" max="9" width="18.7109375" customWidth="1"/>
  </cols>
  <sheetData>
    <row r="1" spans="1:40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13">
        <v>46054</v>
      </c>
      <c r="L1" s="13">
        <v>46055</v>
      </c>
      <c r="M1" s="13">
        <v>46056</v>
      </c>
      <c r="N1" s="13">
        <v>46057</v>
      </c>
      <c r="O1" s="13">
        <v>46058</v>
      </c>
      <c r="P1" s="13">
        <v>46059</v>
      </c>
      <c r="Q1" s="13">
        <v>46060</v>
      </c>
      <c r="R1" s="13">
        <v>46061</v>
      </c>
      <c r="S1" s="13">
        <v>46062</v>
      </c>
      <c r="T1" s="13">
        <v>46063</v>
      </c>
      <c r="U1" s="13">
        <v>46064</v>
      </c>
      <c r="V1" s="13">
        <v>46065</v>
      </c>
      <c r="W1" s="13">
        <v>46066</v>
      </c>
      <c r="X1" s="13">
        <v>46067</v>
      </c>
      <c r="Y1" s="13">
        <v>46068</v>
      </c>
      <c r="Z1" s="13">
        <v>46069</v>
      </c>
      <c r="AA1" s="13">
        <v>46070</v>
      </c>
      <c r="AB1" s="13">
        <v>46071</v>
      </c>
      <c r="AC1" s="13">
        <v>46072</v>
      </c>
      <c r="AD1" s="13">
        <v>46073</v>
      </c>
      <c r="AE1" s="13">
        <v>46074</v>
      </c>
      <c r="AF1" s="13">
        <v>46075</v>
      </c>
      <c r="AG1" s="13">
        <v>46076</v>
      </c>
      <c r="AH1" s="13">
        <v>46077</v>
      </c>
      <c r="AI1" s="13">
        <v>46078</v>
      </c>
      <c r="AJ1" s="13">
        <v>46079</v>
      </c>
      <c r="AK1" s="13">
        <v>46080</v>
      </c>
      <c r="AL1" s="13">
        <v>46081</v>
      </c>
      <c r="AM1" s="48" t="s">
        <v>25</v>
      </c>
      <c r="AN1" s="48" t="s">
        <v>26</v>
      </c>
    </row>
    <row r="2" spans="1:40">
      <c r="A2" s="49"/>
      <c r="B2" s="49"/>
      <c r="C2" s="49"/>
      <c r="D2" s="49"/>
      <c r="E2" s="49"/>
      <c r="F2" s="49"/>
      <c r="G2" s="49"/>
      <c r="H2" s="49"/>
      <c r="I2" s="49"/>
      <c r="J2" s="49"/>
      <c r="K2" s="27" t="s">
        <v>39</v>
      </c>
      <c r="L2" s="27" t="s">
        <v>40</v>
      </c>
      <c r="M2" s="27" t="s">
        <v>41</v>
      </c>
      <c r="N2" s="27" t="s">
        <v>42</v>
      </c>
      <c r="O2" s="27" t="s">
        <v>43</v>
      </c>
      <c r="P2" s="27" t="s">
        <v>44</v>
      </c>
      <c r="Q2" s="27" t="s">
        <v>45</v>
      </c>
      <c r="R2" s="27" t="s">
        <v>39</v>
      </c>
      <c r="S2" s="27" t="s">
        <v>40</v>
      </c>
      <c r="T2" s="27" t="s">
        <v>41</v>
      </c>
      <c r="U2" s="27" t="s">
        <v>42</v>
      </c>
      <c r="V2" s="27" t="s">
        <v>46</v>
      </c>
      <c r="W2" s="27" t="s">
        <v>47</v>
      </c>
      <c r="X2" s="27" t="s">
        <v>45</v>
      </c>
      <c r="Y2" s="27" t="s">
        <v>39</v>
      </c>
      <c r="Z2" s="27" t="s">
        <v>48</v>
      </c>
      <c r="AA2" s="27" t="s">
        <v>49</v>
      </c>
      <c r="AB2" s="27" t="s">
        <v>42</v>
      </c>
      <c r="AC2" s="27" t="s">
        <v>43</v>
      </c>
      <c r="AD2" s="27" t="s">
        <v>44</v>
      </c>
      <c r="AE2" s="27" t="s">
        <v>45</v>
      </c>
      <c r="AF2" s="27" t="s">
        <v>39</v>
      </c>
      <c r="AG2" s="27" t="s">
        <v>40</v>
      </c>
      <c r="AH2" s="27" t="s">
        <v>41</v>
      </c>
      <c r="AI2" s="27" t="s">
        <v>42</v>
      </c>
      <c r="AJ2" s="27" t="s">
        <v>43</v>
      </c>
      <c r="AK2" s="27" t="s">
        <v>44</v>
      </c>
      <c r="AL2" s="27" t="s">
        <v>45</v>
      </c>
      <c r="AM2" s="48"/>
      <c r="AN2" s="48"/>
    </row>
    <row r="3" spans="1:40">
      <c r="A3" s="28">
        <v>1</v>
      </c>
      <c r="B3" s="29">
        <v>500016</v>
      </c>
      <c r="C3" s="28" t="s">
        <v>67</v>
      </c>
      <c r="D3" s="28"/>
      <c r="E3" s="28">
        <v>20141104</v>
      </c>
      <c r="F3" s="28"/>
      <c r="G3" s="29" t="s">
        <v>51</v>
      </c>
      <c r="H3" s="30" t="s">
        <v>68</v>
      </c>
      <c r="I3" s="28" t="s">
        <v>69</v>
      </c>
      <c r="J3" s="28" t="s">
        <v>54</v>
      </c>
      <c r="K3" s="47"/>
      <c r="L3" s="47">
        <v>2</v>
      </c>
      <c r="M3" s="47">
        <v>2</v>
      </c>
      <c r="N3" s="47">
        <v>0.5</v>
      </c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>
        <v>2</v>
      </c>
      <c r="AJ3" s="47">
        <v>1.5</v>
      </c>
      <c r="AK3" s="47">
        <v>2</v>
      </c>
      <c r="AL3" s="47">
        <v>3</v>
      </c>
      <c r="AM3" s="28">
        <f t="shared" ref="AM3:AM66" si="0">SUM(K3:AL3)</f>
        <v>13</v>
      </c>
      <c r="AN3" s="28"/>
    </row>
    <row r="4" spans="1:40">
      <c r="A4" s="28">
        <v>2</v>
      </c>
      <c r="B4" s="29">
        <v>500200</v>
      </c>
      <c r="C4" s="28" t="s">
        <v>97</v>
      </c>
      <c r="D4" s="28"/>
      <c r="E4" s="28">
        <v>20151112</v>
      </c>
      <c r="F4" s="28"/>
      <c r="G4" s="29" t="s">
        <v>51</v>
      </c>
      <c r="H4" s="30" t="s">
        <v>68</v>
      </c>
      <c r="I4" s="28" t="s">
        <v>69</v>
      </c>
      <c r="J4" s="28" t="s">
        <v>54</v>
      </c>
      <c r="K4" s="47"/>
      <c r="L4" s="47">
        <v>2</v>
      </c>
      <c r="M4" s="47">
        <v>2</v>
      </c>
      <c r="N4" s="47">
        <v>2</v>
      </c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>
        <v>1</v>
      </c>
      <c r="AK4" s="47">
        <v>0.5</v>
      </c>
      <c r="AL4" s="47">
        <v>4</v>
      </c>
      <c r="AM4" s="28">
        <f t="shared" si="0"/>
        <v>11.5</v>
      </c>
      <c r="AN4" s="28"/>
    </row>
    <row r="5" spans="1:40">
      <c r="A5" s="28">
        <v>3</v>
      </c>
      <c r="B5" s="29">
        <v>501200</v>
      </c>
      <c r="C5" s="28" t="s">
        <v>209</v>
      </c>
      <c r="D5" s="28"/>
      <c r="E5" s="28">
        <v>20230822</v>
      </c>
      <c r="F5" s="28"/>
      <c r="G5" s="29" t="s">
        <v>51</v>
      </c>
      <c r="H5" s="30" t="s">
        <v>68</v>
      </c>
      <c r="I5" s="28" t="s">
        <v>69</v>
      </c>
      <c r="J5" s="28" t="s">
        <v>54</v>
      </c>
      <c r="K5" s="47"/>
      <c r="L5" s="47">
        <v>2</v>
      </c>
      <c r="M5" s="47">
        <v>2</v>
      </c>
      <c r="N5" s="47">
        <v>2</v>
      </c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>
        <v>4</v>
      </c>
      <c r="AM5" s="28">
        <f t="shared" si="0"/>
        <v>10</v>
      </c>
      <c r="AN5" s="28"/>
    </row>
    <row r="6" spans="1:40">
      <c r="A6" s="28">
        <v>4</v>
      </c>
      <c r="B6" s="29">
        <v>501203</v>
      </c>
      <c r="C6" s="28" t="s">
        <v>211</v>
      </c>
      <c r="D6" s="28"/>
      <c r="E6" s="28">
        <v>20231114</v>
      </c>
      <c r="F6" s="28"/>
      <c r="G6" s="29" t="s">
        <v>51</v>
      </c>
      <c r="H6" s="30" t="s">
        <v>68</v>
      </c>
      <c r="I6" s="28" t="s">
        <v>69</v>
      </c>
      <c r="J6" s="28" t="s">
        <v>54</v>
      </c>
      <c r="K6" s="47"/>
      <c r="L6" s="47">
        <v>2</v>
      </c>
      <c r="M6" s="47">
        <v>2</v>
      </c>
      <c r="N6" s="47">
        <v>2</v>
      </c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>
        <v>2</v>
      </c>
      <c r="AM6" s="28">
        <f t="shared" si="0"/>
        <v>8</v>
      </c>
      <c r="AN6" s="28"/>
    </row>
    <row r="7" spans="1:40">
      <c r="A7" s="28">
        <v>5</v>
      </c>
      <c r="B7" s="29">
        <v>501257</v>
      </c>
      <c r="C7" s="28" t="s">
        <v>237</v>
      </c>
      <c r="D7" s="28"/>
      <c r="E7" s="28">
        <v>20241121</v>
      </c>
      <c r="F7" s="28"/>
      <c r="G7" s="29" t="s">
        <v>51</v>
      </c>
      <c r="H7" s="30" t="s">
        <v>68</v>
      </c>
      <c r="I7" s="28" t="s">
        <v>69</v>
      </c>
      <c r="J7" s="28" t="s">
        <v>54</v>
      </c>
      <c r="K7" s="47"/>
      <c r="L7" s="47">
        <v>2</v>
      </c>
      <c r="M7" s="47">
        <v>2</v>
      </c>
      <c r="N7" s="47">
        <v>0.5</v>
      </c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>
        <v>3</v>
      </c>
      <c r="AM7" s="28">
        <f t="shared" si="0"/>
        <v>7.5</v>
      </c>
      <c r="AN7" s="28"/>
    </row>
    <row r="8" spans="1:40">
      <c r="A8" s="28">
        <v>6</v>
      </c>
      <c r="B8" s="41">
        <v>501277</v>
      </c>
      <c r="C8" s="40" t="s">
        <v>250</v>
      </c>
      <c r="D8" s="40"/>
      <c r="E8" s="40">
        <v>20250502</v>
      </c>
      <c r="F8" s="40">
        <v>20260214</v>
      </c>
      <c r="G8" s="41" t="s">
        <v>51</v>
      </c>
      <c r="H8" s="42" t="s">
        <v>68</v>
      </c>
      <c r="I8" s="40" t="s">
        <v>69</v>
      </c>
      <c r="J8" s="40" t="s">
        <v>54</v>
      </c>
      <c r="K8" s="47"/>
      <c r="L8" s="47">
        <v>2</v>
      </c>
      <c r="M8" s="47">
        <v>2</v>
      </c>
      <c r="N8" s="47">
        <v>2</v>
      </c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28">
        <f t="shared" si="0"/>
        <v>6</v>
      </c>
      <c r="AN8" s="28"/>
    </row>
    <row r="9" spans="1:40">
      <c r="A9" s="28">
        <v>7</v>
      </c>
      <c r="B9" s="29">
        <v>501312</v>
      </c>
      <c r="C9" s="28" t="s">
        <v>274</v>
      </c>
      <c r="D9" s="28"/>
      <c r="E9" s="28">
        <v>20251117</v>
      </c>
      <c r="F9" s="28"/>
      <c r="G9" s="29" t="s">
        <v>51</v>
      </c>
      <c r="H9" s="30" t="s">
        <v>68</v>
      </c>
      <c r="I9" s="28" t="s">
        <v>69</v>
      </c>
      <c r="J9" s="28" t="s">
        <v>54</v>
      </c>
      <c r="K9" s="47"/>
      <c r="L9" s="47">
        <v>2</v>
      </c>
      <c r="M9" s="47">
        <v>2</v>
      </c>
      <c r="N9" s="47">
        <v>2</v>
      </c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>
        <v>4</v>
      </c>
      <c r="AM9" s="28">
        <f t="shared" si="0"/>
        <v>10</v>
      </c>
      <c r="AN9" s="28"/>
    </row>
    <row r="10" spans="1:40">
      <c r="A10" s="28">
        <v>8</v>
      </c>
      <c r="B10" s="29">
        <v>500196</v>
      </c>
      <c r="C10" s="28" t="s">
        <v>94</v>
      </c>
      <c r="D10" s="28"/>
      <c r="E10" s="28">
        <v>20151112</v>
      </c>
      <c r="F10" s="28"/>
      <c r="G10" s="29" t="s">
        <v>51</v>
      </c>
      <c r="H10" s="30" t="s">
        <v>95</v>
      </c>
      <c r="I10" s="28" t="s">
        <v>96</v>
      </c>
      <c r="J10" s="28" t="s">
        <v>58</v>
      </c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28">
        <f t="shared" si="0"/>
        <v>0</v>
      </c>
      <c r="AN10" s="28"/>
    </row>
    <row r="11" spans="1:40">
      <c r="A11" s="28">
        <v>9</v>
      </c>
      <c r="B11" s="29">
        <v>500766</v>
      </c>
      <c r="C11" s="28" t="s">
        <v>165</v>
      </c>
      <c r="D11" s="28"/>
      <c r="E11" s="28">
        <v>20180619</v>
      </c>
      <c r="F11" s="28"/>
      <c r="G11" s="29" t="s">
        <v>51</v>
      </c>
      <c r="H11" s="30" t="s">
        <v>95</v>
      </c>
      <c r="I11" s="28" t="s">
        <v>96</v>
      </c>
      <c r="J11" s="28" t="s">
        <v>58</v>
      </c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>
        <v>8</v>
      </c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28">
        <f t="shared" si="0"/>
        <v>8</v>
      </c>
      <c r="AN11" s="28"/>
    </row>
    <row r="12" spans="1:40">
      <c r="A12" s="28">
        <v>10</v>
      </c>
      <c r="B12" s="29">
        <v>500841</v>
      </c>
      <c r="C12" s="28" t="s">
        <v>177</v>
      </c>
      <c r="D12" s="28"/>
      <c r="E12" s="28">
        <v>20190205</v>
      </c>
      <c r="F12" s="28"/>
      <c r="G12" s="29" t="s">
        <v>51</v>
      </c>
      <c r="H12" s="30" t="s">
        <v>95</v>
      </c>
      <c r="I12" s="28" t="s">
        <v>96</v>
      </c>
      <c r="J12" s="28" t="s">
        <v>58</v>
      </c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>
        <v>8</v>
      </c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28">
        <f t="shared" si="0"/>
        <v>8</v>
      </c>
      <c r="AN12" s="28"/>
    </row>
    <row r="13" spans="1:40">
      <c r="A13" s="28">
        <v>11</v>
      </c>
      <c r="B13" s="29">
        <v>500925</v>
      </c>
      <c r="C13" s="28" t="s">
        <v>181</v>
      </c>
      <c r="D13" s="28"/>
      <c r="E13" s="28">
        <v>20191024</v>
      </c>
      <c r="F13" s="28"/>
      <c r="G13" s="29" t="s">
        <v>51</v>
      </c>
      <c r="H13" s="30" t="s">
        <v>95</v>
      </c>
      <c r="I13" s="28" t="s">
        <v>96</v>
      </c>
      <c r="J13" s="28" t="s">
        <v>58</v>
      </c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28">
        <f t="shared" si="0"/>
        <v>0</v>
      </c>
      <c r="AN13" s="28"/>
    </row>
    <row r="14" spans="1:40">
      <c r="A14" s="28">
        <v>12</v>
      </c>
      <c r="B14" s="29">
        <v>500979</v>
      </c>
      <c r="C14" s="28" t="s">
        <v>190</v>
      </c>
      <c r="D14" s="28"/>
      <c r="E14" s="28">
        <v>20200310</v>
      </c>
      <c r="F14" s="28"/>
      <c r="G14" s="29" t="s">
        <v>51</v>
      </c>
      <c r="H14" s="30" t="s">
        <v>95</v>
      </c>
      <c r="I14" s="28" t="s">
        <v>96</v>
      </c>
      <c r="J14" s="28" t="s">
        <v>58</v>
      </c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28">
        <f t="shared" si="0"/>
        <v>0</v>
      </c>
      <c r="AN14" s="28"/>
    </row>
    <row r="15" spans="1:40">
      <c r="A15" s="28">
        <v>13</v>
      </c>
      <c r="B15" s="29">
        <v>501212</v>
      </c>
      <c r="C15" s="28" t="s">
        <v>214</v>
      </c>
      <c r="D15" s="28"/>
      <c r="E15" s="28">
        <v>20240305</v>
      </c>
      <c r="F15" s="28"/>
      <c r="G15" s="29" t="s">
        <v>51</v>
      </c>
      <c r="H15" s="30" t="s">
        <v>95</v>
      </c>
      <c r="I15" s="28" t="s">
        <v>96</v>
      </c>
      <c r="J15" s="28" t="s">
        <v>58</v>
      </c>
      <c r="K15" s="47"/>
      <c r="L15" s="47"/>
      <c r="M15" s="47">
        <v>0.5</v>
      </c>
      <c r="N15" s="47">
        <v>0.5</v>
      </c>
      <c r="O15" s="47"/>
      <c r="P15" s="47">
        <v>1</v>
      </c>
      <c r="Q15" s="47"/>
      <c r="R15" s="47"/>
      <c r="S15" s="47">
        <v>0.5</v>
      </c>
      <c r="T15" s="47"/>
      <c r="U15" s="47"/>
      <c r="V15" s="47"/>
      <c r="W15" s="47"/>
      <c r="X15" s="47"/>
      <c r="Y15" s="47"/>
      <c r="Z15" s="47"/>
      <c r="AA15" s="47"/>
      <c r="AB15" s="47">
        <v>1</v>
      </c>
      <c r="AC15" s="47"/>
      <c r="AD15" s="47"/>
      <c r="AE15" s="47">
        <v>2</v>
      </c>
      <c r="AF15" s="47"/>
      <c r="AG15" s="47"/>
      <c r="AH15" s="47">
        <v>0.5</v>
      </c>
      <c r="AI15" s="47"/>
      <c r="AJ15" s="47">
        <v>1.5</v>
      </c>
      <c r="AK15" s="47"/>
      <c r="AL15" s="47">
        <v>1</v>
      </c>
      <c r="AM15" s="28">
        <f t="shared" si="0"/>
        <v>8.5</v>
      </c>
      <c r="AN15" s="28"/>
    </row>
    <row r="16" spans="1:40">
      <c r="A16" s="28">
        <v>14</v>
      </c>
      <c r="B16" s="29">
        <v>501246</v>
      </c>
      <c r="C16" s="28" t="s">
        <v>228</v>
      </c>
      <c r="D16" s="28"/>
      <c r="E16" s="28">
        <v>20240913</v>
      </c>
      <c r="F16" s="28"/>
      <c r="G16" s="29" t="s">
        <v>51</v>
      </c>
      <c r="H16" s="30" t="s">
        <v>95</v>
      </c>
      <c r="I16" s="28" t="s">
        <v>96</v>
      </c>
      <c r="J16" s="28" t="s">
        <v>58</v>
      </c>
      <c r="K16" s="47"/>
      <c r="L16" s="47"/>
      <c r="M16" s="47">
        <v>1.5</v>
      </c>
      <c r="N16" s="47">
        <v>1</v>
      </c>
      <c r="O16" s="47"/>
      <c r="P16" s="47">
        <v>1</v>
      </c>
      <c r="Q16" s="47"/>
      <c r="R16" s="47"/>
      <c r="S16" s="47">
        <v>0.5</v>
      </c>
      <c r="T16" s="47"/>
      <c r="U16" s="47"/>
      <c r="V16" s="47"/>
      <c r="W16" s="47"/>
      <c r="X16" s="47"/>
      <c r="Y16" s="47"/>
      <c r="Z16" s="47"/>
      <c r="AA16" s="47"/>
      <c r="AB16" s="47"/>
      <c r="AC16" s="47">
        <v>1.5</v>
      </c>
      <c r="AD16" s="47">
        <v>1</v>
      </c>
      <c r="AE16" s="47"/>
      <c r="AF16" s="47"/>
      <c r="AG16" s="47"/>
      <c r="AH16" s="47">
        <v>0.5</v>
      </c>
      <c r="AI16" s="47"/>
      <c r="AJ16" s="47">
        <v>1.5</v>
      </c>
      <c r="AK16" s="47"/>
      <c r="AL16" s="47">
        <v>1</v>
      </c>
      <c r="AM16" s="28">
        <f t="shared" si="0"/>
        <v>9.5</v>
      </c>
      <c r="AN16" s="28"/>
    </row>
    <row r="17" spans="1:40">
      <c r="A17" s="28">
        <v>15</v>
      </c>
      <c r="B17" s="29">
        <v>501261</v>
      </c>
      <c r="C17" s="28" t="s">
        <v>87</v>
      </c>
      <c r="D17" s="28"/>
      <c r="E17" s="28">
        <v>20241212</v>
      </c>
      <c r="F17" s="28"/>
      <c r="G17" s="29" t="s">
        <v>51</v>
      </c>
      <c r="H17" s="30" t="s">
        <v>95</v>
      </c>
      <c r="I17" s="28" t="s">
        <v>96</v>
      </c>
      <c r="J17" s="28" t="s">
        <v>58</v>
      </c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28">
        <f t="shared" si="0"/>
        <v>0</v>
      </c>
      <c r="AN17" s="28"/>
    </row>
    <row r="18" spans="1:40">
      <c r="A18" s="28">
        <v>16</v>
      </c>
      <c r="B18" s="29">
        <v>500511</v>
      </c>
      <c r="C18" s="28" t="s">
        <v>144</v>
      </c>
      <c r="D18" s="28"/>
      <c r="E18" s="28">
        <v>20170314</v>
      </c>
      <c r="F18" s="28"/>
      <c r="G18" s="29" t="s">
        <v>51</v>
      </c>
      <c r="H18" s="30" t="s">
        <v>145</v>
      </c>
      <c r="I18" s="28" t="s">
        <v>146</v>
      </c>
      <c r="J18" s="28" t="s">
        <v>54</v>
      </c>
      <c r="K18" s="47"/>
      <c r="L18" s="47"/>
      <c r="M18" s="47"/>
      <c r="N18" s="47"/>
      <c r="O18" s="47"/>
      <c r="P18" s="47"/>
      <c r="Q18" s="47">
        <v>3.5</v>
      </c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28">
        <f t="shared" si="0"/>
        <v>3.5</v>
      </c>
      <c r="AN18" s="28"/>
    </row>
    <row r="19" spans="1:40">
      <c r="A19" s="28">
        <v>17</v>
      </c>
      <c r="B19" s="29">
        <v>500512</v>
      </c>
      <c r="C19" s="28" t="s">
        <v>147</v>
      </c>
      <c r="D19" s="28"/>
      <c r="E19" s="28">
        <v>20170321</v>
      </c>
      <c r="F19" s="28"/>
      <c r="G19" s="29" t="s">
        <v>51</v>
      </c>
      <c r="H19" s="30" t="s">
        <v>145</v>
      </c>
      <c r="I19" s="28" t="s">
        <v>146</v>
      </c>
      <c r="J19" s="28" t="s">
        <v>54</v>
      </c>
      <c r="K19" s="47"/>
      <c r="L19" s="47"/>
      <c r="M19" s="47"/>
      <c r="N19" s="47"/>
      <c r="O19" s="47"/>
      <c r="P19" s="47"/>
      <c r="Q19" s="47">
        <v>4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28">
        <f t="shared" si="0"/>
        <v>4</v>
      </c>
      <c r="AN19" s="28"/>
    </row>
    <row r="20" spans="1:40">
      <c r="A20" s="28">
        <v>18</v>
      </c>
      <c r="B20" s="29">
        <v>500827</v>
      </c>
      <c r="C20" s="28" t="s">
        <v>174</v>
      </c>
      <c r="D20" s="28"/>
      <c r="E20" s="28">
        <v>20181220</v>
      </c>
      <c r="F20" s="28"/>
      <c r="G20" s="29" t="s">
        <v>51</v>
      </c>
      <c r="H20" s="30" t="s">
        <v>145</v>
      </c>
      <c r="I20" s="28" t="s">
        <v>146</v>
      </c>
      <c r="J20" s="28" t="s">
        <v>54</v>
      </c>
      <c r="K20" s="47"/>
      <c r="L20" s="47"/>
      <c r="M20" s="47"/>
      <c r="N20" s="47"/>
      <c r="O20" s="47"/>
      <c r="P20" s="47"/>
      <c r="Q20" s="47">
        <v>4</v>
      </c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28">
        <f t="shared" si="0"/>
        <v>4</v>
      </c>
      <c r="AN20" s="28"/>
    </row>
    <row r="21" spans="1:40">
      <c r="A21" s="28">
        <v>19</v>
      </c>
      <c r="B21" s="29">
        <v>501201</v>
      </c>
      <c r="C21" s="28" t="s">
        <v>210</v>
      </c>
      <c r="D21" s="28"/>
      <c r="E21" s="28">
        <v>20230914</v>
      </c>
      <c r="F21" s="28"/>
      <c r="G21" s="29" t="s">
        <v>51</v>
      </c>
      <c r="H21" s="30" t="s">
        <v>145</v>
      </c>
      <c r="I21" s="28" t="s">
        <v>146</v>
      </c>
      <c r="J21" s="28" t="s">
        <v>54</v>
      </c>
      <c r="K21" s="47"/>
      <c r="L21" s="47"/>
      <c r="M21" s="47"/>
      <c r="N21" s="47"/>
      <c r="O21" s="47"/>
      <c r="P21" s="47"/>
      <c r="Q21" s="47">
        <v>4.5</v>
      </c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>
        <v>5</v>
      </c>
      <c r="AM21" s="28">
        <f t="shared" si="0"/>
        <v>9.5</v>
      </c>
      <c r="AN21" s="28"/>
    </row>
    <row r="22" spans="1:40">
      <c r="A22" s="28">
        <v>20</v>
      </c>
      <c r="B22" s="29">
        <v>501208</v>
      </c>
      <c r="C22" s="28" t="s">
        <v>213</v>
      </c>
      <c r="D22" s="28"/>
      <c r="E22" s="28">
        <v>20240215</v>
      </c>
      <c r="F22" s="28"/>
      <c r="G22" s="29" t="s">
        <v>51</v>
      </c>
      <c r="H22" s="30" t="s">
        <v>145</v>
      </c>
      <c r="I22" s="28" t="s">
        <v>146</v>
      </c>
      <c r="J22" s="28" t="s">
        <v>54</v>
      </c>
      <c r="K22" s="47"/>
      <c r="L22" s="47"/>
      <c r="M22" s="47"/>
      <c r="N22" s="47"/>
      <c r="O22" s="47"/>
      <c r="P22" s="47"/>
      <c r="Q22" s="47">
        <v>4.5</v>
      </c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28">
        <f t="shared" si="0"/>
        <v>4.5</v>
      </c>
      <c r="AN22" s="28"/>
    </row>
    <row r="23" spans="1:40">
      <c r="A23" s="28">
        <v>21</v>
      </c>
      <c r="B23" s="29">
        <v>501248</v>
      </c>
      <c r="C23" s="28" t="s">
        <v>230</v>
      </c>
      <c r="D23" s="28"/>
      <c r="E23" s="28">
        <v>20240920</v>
      </c>
      <c r="F23" s="28"/>
      <c r="G23" s="29" t="s">
        <v>51</v>
      </c>
      <c r="H23" s="30" t="s">
        <v>145</v>
      </c>
      <c r="I23" s="28" t="s">
        <v>146</v>
      </c>
      <c r="J23" s="28" t="s">
        <v>54</v>
      </c>
      <c r="K23" s="47"/>
      <c r="L23" s="47"/>
      <c r="M23" s="47"/>
      <c r="N23" s="47"/>
      <c r="O23" s="47"/>
      <c r="P23" s="47"/>
      <c r="Q23" s="47">
        <v>4.5</v>
      </c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28">
        <f t="shared" si="0"/>
        <v>4.5</v>
      </c>
      <c r="AN23" s="28"/>
    </row>
    <row r="24" spans="1:40">
      <c r="A24" s="28">
        <v>22</v>
      </c>
      <c r="B24" s="29">
        <v>501254</v>
      </c>
      <c r="C24" s="28" t="s">
        <v>235</v>
      </c>
      <c r="D24" s="28"/>
      <c r="E24" s="28">
        <v>20241023</v>
      </c>
      <c r="F24" s="28"/>
      <c r="G24" s="29" t="s">
        <v>51</v>
      </c>
      <c r="H24" s="30" t="s">
        <v>145</v>
      </c>
      <c r="I24" s="28" t="s">
        <v>146</v>
      </c>
      <c r="J24" s="28" t="s">
        <v>54</v>
      </c>
      <c r="K24" s="47"/>
      <c r="L24" s="47"/>
      <c r="M24" s="47"/>
      <c r="N24" s="47"/>
      <c r="O24" s="47"/>
      <c r="P24" s="47"/>
      <c r="Q24" s="47">
        <v>4</v>
      </c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28">
        <f t="shared" si="0"/>
        <v>4</v>
      </c>
      <c r="AN24" s="28"/>
    </row>
    <row r="25" spans="1:40">
      <c r="A25" s="28">
        <v>23</v>
      </c>
      <c r="B25" s="29">
        <v>501264</v>
      </c>
      <c r="C25" s="28" t="s">
        <v>241</v>
      </c>
      <c r="D25" s="28"/>
      <c r="E25" s="28">
        <v>20250108</v>
      </c>
      <c r="F25" s="28"/>
      <c r="G25" s="29" t="s">
        <v>51</v>
      </c>
      <c r="H25" s="30" t="s">
        <v>145</v>
      </c>
      <c r="I25" s="28" t="s">
        <v>146</v>
      </c>
      <c r="J25" s="28" t="s">
        <v>54</v>
      </c>
      <c r="K25" s="47"/>
      <c r="L25" s="47"/>
      <c r="M25" s="47"/>
      <c r="N25" s="47"/>
      <c r="O25" s="47"/>
      <c r="P25" s="47"/>
      <c r="Q25" s="47">
        <v>4.5</v>
      </c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28">
        <f t="shared" si="0"/>
        <v>4.5</v>
      </c>
      <c r="AN25" s="28"/>
    </row>
    <row r="26" spans="1:40">
      <c r="A26" s="28">
        <v>24</v>
      </c>
      <c r="B26" s="29">
        <v>501282</v>
      </c>
      <c r="C26" s="28" t="s">
        <v>254</v>
      </c>
      <c r="D26" s="28"/>
      <c r="E26" s="28">
        <v>20250515</v>
      </c>
      <c r="F26" s="28"/>
      <c r="G26" s="29" t="s">
        <v>51</v>
      </c>
      <c r="H26" s="30" t="s">
        <v>145</v>
      </c>
      <c r="I26" s="28" t="s">
        <v>146</v>
      </c>
      <c r="J26" s="28" t="s">
        <v>54</v>
      </c>
      <c r="K26" s="47"/>
      <c r="L26" s="47"/>
      <c r="M26" s="47"/>
      <c r="N26" s="47"/>
      <c r="O26" s="47"/>
      <c r="P26" s="47"/>
      <c r="Q26" s="47">
        <v>4</v>
      </c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28">
        <f t="shared" si="0"/>
        <v>4</v>
      </c>
      <c r="AN26" s="28"/>
    </row>
    <row r="27" spans="1:40">
      <c r="A27" s="28">
        <v>25</v>
      </c>
      <c r="B27" s="29">
        <v>501297</v>
      </c>
      <c r="C27" s="28" t="s">
        <v>260</v>
      </c>
      <c r="D27" s="28"/>
      <c r="E27" s="28">
        <v>20250904</v>
      </c>
      <c r="F27" s="28"/>
      <c r="G27" s="29" t="s">
        <v>51</v>
      </c>
      <c r="H27" s="30" t="s">
        <v>145</v>
      </c>
      <c r="I27" s="28" t="s">
        <v>146</v>
      </c>
      <c r="J27" s="28" t="s">
        <v>54</v>
      </c>
      <c r="K27" s="47"/>
      <c r="L27" s="47"/>
      <c r="M27" s="47"/>
      <c r="N27" s="47"/>
      <c r="O27" s="47"/>
      <c r="P27" s="47"/>
      <c r="Q27" s="47">
        <v>4.5</v>
      </c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28">
        <f t="shared" si="0"/>
        <v>4.5</v>
      </c>
      <c r="AN27" s="28"/>
    </row>
    <row r="28" spans="1:40">
      <c r="A28" s="28">
        <v>26</v>
      </c>
      <c r="B28" s="29">
        <v>501304</v>
      </c>
      <c r="C28" s="28" t="s">
        <v>266</v>
      </c>
      <c r="D28" s="28"/>
      <c r="E28" s="28">
        <v>20251106</v>
      </c>
      <c r="F28" s="28"/>
      <c r="G28" s="29" t="s">
        <v>51</v>
      </c>
      <c r="H28" s="30" t="s">
        <v>145</v>
      </c>
      <c r="I28" s="28" t="s">
        <v>146</v>
      </c>
      <c r="J28" s="28" t="s">
        <v>54</v>
      </c>
      <c r="K28" s="47"/>
      <c r="L28" s="47"/>
      <c r="M28" s="47"/>
      <c r="N28" s="47"/>
      <c r="O28" s="47"/>
      <c r="P28" s="47"/>
      <c r="Q28" s="47">
        <v>4.5</v>
      </c>
      <c r="R28" s="47"/>
      <c r="S28" s="47"/>
      <c r="T28" s="47">
        <v>1.5</v>
      </c>
      <c r="U28" s="47">
        <v>2</v>
      </c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>
        <v>1</v>
      </c>
      <c r="AK28" s="47"/>
      <c r="AL28" s="47"/>
      <c r="AM28" s="28">
        <f t="shared" si="0"/>
        <v>9</v>
      </c>
      <c r="AN28" s="28"/>
    </row>
    <row r="29" spans="1:40">
      <c r="A29" s="28">
        <v>27</v>
      </c>
      <c r="B29" s="29">
        <v>501263</v>
      </c>
      <c r="C29" s="28" t="s">
        <v>238</v>
      </c>
      <c r="D29" s="28"/>
      <c r="E29" s="28">
        <v>20250108</v>
      </c>
      <c r="F29" s="28"/>
      <c r="G29" s="29" t="s">
        <v>51</v>
      </c>
      <c r="H29" s="30" t="s">
        <v>239</v>
      </c>
      <c r="I29" s="28" t="s">
        <v>240</v>
      </c>
      <c r="J29" s="28" t="s">
        <v>58</v>
      </c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28">
        <f t="shared" si="0"/>
        <v>0</v>
      </c>
      <c r="AN29" s="28"/>
    </row>
    <row r="30" spans="1:40">
      <c r="A30" s="28">
        <v>28</v>
      </c>
      <c r="B30" s="29">
        <v>111670</v>
      </c>
      <c r="C30" s="28" t="s">
        <v>55</v>
      </c>
      <c r="D30" s="28"/>
      <c r="E30" s="28">
        <v>20180522</v>
      </c>
      <c r="F30" s="28"/>
      <c r="G30" s="29" t="s">
        <v>51</v>
      </c>
      <c r="H30" s="30" t="s">
        <v>56</v>
      </c>
      <c r="I30" s="28" t="s">
        <v>57</v>
      </c>
      <c r="J30" s="28" t="s">
        <v>58</v>
      </c>
      <c r="K30" s="47"/>
      <c r="L30" s="47"/>
      <c r="M30" s="47"/>
      <c r="N30" s="47"/>
      <c r="O30" s="47"/>
      <c r="P30" s="47"/>
      <c r="Q30" s="47"/>
      <c r="R30" s="47"/>
      <c r="S30" s="47">
        <v>1.5</v>
      </c>
      <c r="T30" s="47"/>
      <c r="U30" s="47"/>
      <c r="V30" s="47">
        <v>7</v>
      </c>
      <c r="W30" s="47">
        <v>7</v>
      </c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>
        <v>1</v>
      </c>
      <c r="AI30" s="47"/>
      <c r="AJ30" s="47"/>
      <c r="AK30" s="47"/>
      <c r="AL30" s="47"/>
      <c r="AM30" s="28">
        <f t="shared" si="0"/>
        <v>16.5</v>
      </c>
      <c r="AN30" s="28"/>
    </row>
    <row r="31" spans="1:40">
      <c r="A31" s="28">
        <v>29</v>
      </c>
      <c r="B31" s="29">
        <v>128663</v>
      </c>
      <c r="C31" s="28" t="s">
        <v>59</v>
      </c>
      <c r="D31" s="28"/>
      <c r="E31" s="28">
        <v>20220823</v>
      </c>
      <c r="F31" s="28"/>
      <c r="G31" s="29" t="s">
        <v>51</v>
      </c>
      <c r="H31" s="30" t="s">
        <v>56</v>
      </c>
      <c r="I31" s="28" t="s">
        <v>57</v>
      </c>
      <c r="J31" s="28" t="s">
        <v>58</v>
      </c>
      <c r="K31" s="47"/>
      <c r="L31" s="47">
        <v>1.5</v>
      </c>
      <c r="M31" s="47">
        <v>1.5</v>
      </c>
      <c r="N31" s="47">
        <v>1.5</v>
      </c>
      <c r="O31" s="47"/>
      <c r="P31" s="47"/>
      <c r="Q31" s="47">
        <v>1.5</v>
      </c>
      <c r="R31" s="47"/>
      <c r="S31" s="47">
        <v>1.5</v>
      </c>
      <c r="T31" s="47">
        <v>1.5</v>
      </c>
      <c r="U31" s="47">
        <v>1.5</v>
      </c>
      <c r="V31" s="47">
        <v>7</v>
      </c>
      <c r="W31" s="47">
        <v>7</v>
      </c>
      <c r="X31" s="47">
        <v>1.5</v>
      </c>
      <c r="Y31" s="47"/>
      <c r="Z31" s="47"/>
      <c r="AA31" s="47"/>
      <c r="AB31" s="47">
        <v>1.5</v>
      </c>
      <c r="AC31" s="47"/>
      <c r="AD31" s="47">
        <v>1.5</v>
      </c>
      <c r="AE31" s="47">
        <v>1.5</v>
      </c>
      <c r="AF31" s="47"/>
      <c r="AG31" s="47">
        <v>1.5</v>
      </c>
      <c r="AH31" s="47">
        <v>1.5</v>
      </c>
      <c r="AI31" s="47">
        <v>1</v>
      </c>
      <c r="AJ31" s="47">
        <v>1.5</v>
      </c>
      <c r="AK31" s="47">
        <v>1.5</v>
      </c>
      <c r="AL31" s="47">
        <v>1.5</v>
      </c>
      <c r="AM31" s="28">
        <f t="shared" si="0"/>
        <v>39</v>
      </c>
      <c r="AN31" s="28"/>
    </row>
    <row r="32" spans="1:40">
      <c r="A32" s="28">
        <v>30</v>
      </c>
      <c r="B32" s="29">
        <v>500208</v>
      </c>
      <c r="C32" s="28" t="s">
        <v>98</v>
      </c>
      <c r="D32" s="28"/>
      <c r="E32" s="28">
        <v>20151124</v>
      </c>
      <c r="F32" s="28"/>
      <c r="G32" s="29" t="s">
        <v>51</v>
      </c>
      <c r="H32" s="30" t="s">
        <v>56</v>
      </c>
      <c r="I32" s="28" t="s">
        <v>57</v>
      </c>
      <c r="J32" s="28" t="s">
        <v>58</v>
      </c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28">
        <f t="shared" si="0"/>
        <v>0</v>
      </c>
      <c r="AN32" s="28"/>
    </row>
    <row r="33" spans="1:40">
      <c r="A33" s="28">
        <v>31</v>
      </c>
      <c r="B33" s="29">
        <v>500295</v>
      </c>
      <c r="C33" s="28" t="s">
        <v>109</v>
      </c>
      <c r="D33" s="28"/>
      <c r="E33" s="28">
        <v>20160421</v>
      </c>
      <c r="F33" s="28"/>
      <c r="G33" s="29" t="s">
        <v>51</v>
      </c>
      <c r="H33" s="30" t="s">
        <v>56</v>
      </c>
      <c r="I33" s="28" t="s">
        <v>57</v>
      </c>
      <c r="J33" s="28" t="s">
        <v>58</v>
      </c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>
        <v>0.5</v>
      </c>
      <c r="AI33" s="47"/>
      <c r="AJ33" s="47"/>
      <c r="AK33" s="47"/>
      <c r="AL33" s="47"/>
      <c r="AM33" s="28">
        <f t="shared" si="0"/>
        <v>0.5</v>
      </c>
      <c r="AN33" s="28"/>
    </row>
    <row r="34" spans="1:40">
      <c r="A34" s="28">
        <v>32</v>
      </c>
      <c r="B34" s="29">
        <v>500778</v>
      </c>
      <c r="C34" s="28" t="s">
        <v>168</v>
      </c>
      <c r="D34" s="28"/>
      <c r="E34" s="28">
        <v>20180710</v>
      </c>
      <c r="F34" s="28"/>
      <c r="G34" s="29" t="s">
        <v>51</v>
      </c>
      <c r="H34" s="30" t="s">
        <v>56</v>
      </c>
      <c r="I34" s="28" t="s">
        <v>57</v>
      </c>
      <c r="J34" s="28" t="s">
        <v>58</v>
      </c>
      <c r="K34" s="47">
        <v>2</v>
      </c>
      <c r="L34" s="47">
        <v>2</v>
      </c>
      <c r="M34" s="47">
        <v>2</v>
      </c>
      <c r="N34" s="47">
        <v>2</v>
      </c>
      <c r="O34" s="47"/>
      <c r="P34" s="47"/>
      <c r="Q34" s="47">
        <v>2</v>
      </c>
      <c r="R34" s="47">
        <v>2</v>
      </c>
      <c r="S34" s="47">
        <v>2</v>
      </c>
      <c r="T34" s="47">
        <v>2</v>
      </c>
      <c r="U34" s="47">
        <v>2</v>
      </c>
      <c r="V34" s="47"/>
      <c r="W34" s="47"/>
      <c r="X34" s="47"/>
      <c r="Y34" s="47"/>
      <c r="Z34" s="47"/>
      <c r="AA34" s="47"/>
      <c r="AB34" s="47">
        <v>2</v>
      </c>
      <c r="AC34" s="47">
        <v>2</v>
      </c>
      <c r="AD34" s="47"/>
      <c r="AE34" s="47">
        <v>2</v>
      </c>
      <c r="AF34" s="47">
        <v>2</v>
      </c>
      <c r="AG34" s="47">
        <v>2</v>
      </c>
      <c r="AH34" s="47">
        <v>2</v>
      </c>
      <c r="AI34" s="47">
        <v>2</v>
      </c>
      <c r="AJ34" s="47">
        <v>2</v>
      </c>
      <c r="AK34" s="47"/>
      <c r="AL34" s="47">
        <v>2</v>
      </c>
      <c r="AM34" s="28">
        <f t="shared" si="0"/>
        <v>36</v>
      </c>
      <c r="AN34" s="28"/>
    </row>
    <row r="35" spans="1:40">
      <c r="A35" s="28">
        <v>33</v>
      </c>
      <c r="B35" s="29">
        <v>501131</v>
      </c>
      <c r="C35" s="28" t="s">
        <v>204</v>
      </c>
      <c r="D35" s="28"/>
      <c r="E35" s="28">
        <v>20220614</v>
      </c>
      <c r="F35" s="28"/>
      <c r="G35" s="29" t="s">
        <v>51</v>
      </c>
      <c r="H35" s="30" t="s">
        <v>56</v>
      </c>
      <c r="I35" s="28" t="s">
        <v>57</v>
      </c>
      <c r="J35" s="28" t="s">
        <v>58</v>
      </c>
      <c r="K35" s="47">
        <v>2</v>
      </c>
      <c r="L35" s="47">
        <v>2</v>
      </c>
      <c r="M35" s="47">
        <v>2</v>
      </c>
      <c r="N35" s="47">
        <v>2</v>
      </c>
      <c r="O35" s="47"/>
      <c r="P35" s="47"/>
      <c r="Q35" s="47"/>
      <c r="R35" s="47">
        <v>2</v>
      </c>
      <c r="S35" s="47">
        <v>2</v>
      </c>
      <c r="T35" s="47">
        <v>2</v>
      </c>
      <c r="U35" s="47"/>
      <c r="V35" s="47">
        <v>7</v>
      </c>
      <c r="W35" s="47">
        <v>7</v>
      </c>
      <c r="X35" s="47"/>
      <c r="Y35" s="47">
        <v>2</v>
      </c>
      <c r="Z35" s="47">
        <v>7</v>
      </c>
      <c r="AA35" s="47">
        <v>7</v>
      </c>
      <c r="AB35" s="47">
        <v>2</v>
      </c>
      <c r="AC35" s="47">
        <v>2</v>
      </c>
      <c r="AD35" s="47">
        <v>2</v>
      </c>
      <c r="AE35" s="47"/>
      <c r="AF35" s="47">
        <v>2</v>
      </c>
      <c r="AG35" s="47">
        <v>2</v>
      </c>
      <c r="AH35" s="47">
        <v>2</v>
      </c>
      <c r="AI35" s="47">
        <v>2</v>
      </c>
      <c r="AJ35" s="47"/>
      <c r="AK35" s="47"/>
      <c r="AL35" s="47"/>
      <c r="AM35" s="28">
        <f t="shared" si="0"/>
        <v>58</v>
      </c>
      <c r="AN35" s="28"/>
    </row>
    <row r="36" spans="1:40">
      <c r="A36" s="28">
        <v>34</v>
      </c>
      <c r="B36" s="29">
        <v>501229</v>
      </c>
      <c r="C36" s="28" t="s">
        <v>220</v>
      </c>
      <c r="D36" s="28"/>
      <c r="E36" s="28">
        <v>20240704</v>
      </c>
      <c r="F36" s="28"/>
      <c r="G36" s="29" t="s">
        <v>51</v>
      </c>
      <c r="H36" s="30" t="s">
        <v>56</v>
      </c>
      <c r="I36" s="28" t="s">
        <v>57</v>
      </c>
      <c r="J36" s="28" t="s">
        <v>58</v>
      </c>
      <c r="K36" s="47">
        <v>2</v>
      </c>
      <c r="L36" s="47">
        <v>2</v>
      </c>
      <c r="M36" s="47">
        <v>2</v>
      </c>
      <c r="N36" s="47">
        <v>2</v>
      </c>
      <c r="O36" s="47"/>
      <c r="P36" s="47">
        <v>2</v>
      </c>
      <c r="Q36" s="47"/>
      <c r="R36" s="47">
        <v>2</v>
      </c>
      <c r="S36" s="47">
        <v>2</v>
      </c>
      <c r="T36" s="47"/>
      <c r="U36" s="47">
        <v>2</v>
      </c>
      <c r="V36" s="47">
        <v>7</v>
      </c>
      <c r="W36" s="47">
        <v>7</v>
      </c>
      <c r="X36" s="47"/>
      <c r="Y36" s="47">
        <v>2</v>
      </c>
      <c r="Z36" s="47">
        <v>7</v>
      </c>
      <c r="AA36" s="47">
        <v>7</v>
      </c>
      <c r="AB36" s="47">
        <v>2</v>
      </c>
      <c r="AC36" s="47">
        <v>2</v>
      </c>
      <c r="AD36" s="47"/>
      <c r="AE36" s="47"/>
      <c r="AF36" s="47">
        <v>2</v>
      </c>
      <c r="AG36" s="47">
        <v>2</v>
      </c>
      <c r="AH36" s="47">
        <v>2</v>
      </c>
      <c r="AI36" s="47"/>
      <c r="AJ36" s="47"/>
      <c r="AK36" s="47"/>
      <c r="AL36" s="47"/>
      <c r="AM36" s="28">
        <f t="shared" si="0"/>
        <v>56</v>
      </c>
      <c r="AN36" s="28"/>
    </row>
    <row r="37" spans="1:40">
      <c r="A37" s="28">
        <v>35</v>
      </c>
      <c r="B37" s="29">
        <v>501240</v>
      </c>
      <c r="C37" s="28" t="s">
        <v>225</v>
      </c>
      <c r="D37" s="28"/>
      <c r="E37" s="28">
        <v>20240827</v>
      </c>
      <c r="F37" s="28"/>
      <c r="G37" s="29" t="s">
        <v>51</v>
      </c>
      <c r="H37" s="30" t="s">
        <v>56</v>
      </c>
      <c r="I37" s="28" t="s">
        <v>57</v>
      </c>
      <c r="J37" s="28" t="s">
        <v>58</v>
      </c>
      <c r="K37" s="47"/>
      <c r="L37" s="47">
        <v>1.5</v>
      </c>
      <c r="M37" s="47">
        <v>1.5</v>
      </c>
      <c r="N37" s="47">
        <v>1.5</v>
      </c>
      <c r="O37" s="47"/>
      <c r="P37" s="47"/>
      <c r="Q37" s="47"/>
      <c r="R37" s="47"/>
      <c r="S37" s="47">
        <v>1.5</v>
      </c>
      <c r="T37" s="47">
        <v>1.5</v>
      </c>
      <c r="U37" s="47">
        <v>1.5</v>
      </c>
      <c r="V37" s="47">
        <v>7</v>
      </c>
      <c r="W37" s="47">
        <v>7</v>
      </c>
      <c r="X37" s="47"/>
      <c r="Y37" s="47"/>
      <c r="Z37" s="47"/>
      <c r="AA37" s="47"/>
      <c r="AB37" s="47">
        <v>1.5</v>
      </c>
      <c r="AC37" s="47"/>
      <c r="AD37" s="47">
        <v>1.5</v>
      </c>
      <c r="AE37" s="47">
        <v>1.5</v>
      </c>
      <c r="AF37" s="47"/>
      <c r="AG37" s="47">
        <v>1.5</v>
      </c>
      <c r="AH37" s="47">
        <v>1.5</v>
      </c>
      <c r="AI37" s="47">
        <v>1</v>
      </c>
      <c r="AJ37" s="47">
        <v>1.5</v>
      </c>
      <c r="AK37" s="47">
        <v>1.5</v>
      </c>
      <c r="AL37" s="47">
        <v>1.5</v>
      </c>
      <c r="AM37" s="28">
        <f t="shared" si="0"/>
        <v>36</v>
      </c>
      <c r="AN37" s="28"/>
    </row>
    <row r="38" spans="1:40">
      <c r="A38" s="28">
        <v>36</v>
      </c>
      <c r="B38" s="29">
        <v>501251</v>
      </c>
      <c r="C38" s="28" t="s">
        <v>233</v>
      </c>
      <c r="D38" s="28"/>
      <c r="E38" s="28">
        <v>20241014</v>
      </c>
      <c r="F38" s="28"/>
      <c r="G38" s="29" t="s">
        <v>51</v>
      </c>
      <c r="H38" s="30" t="s">
        <v>56</v>
      </c>
      <c r="I38" s="28" t="s">
        <v>57</v>
      </c>
      <c r="J38" s="28" t="s">
        <v>58</v>
      </c>
      <c r="K38" s="47"/>
      <c r="L38" s="47">
        <v>2</v>
      </c>
      <c r="M38" s="47"/>
      <c r="N38" s="47">
        <v>2</v>
      </c>
      <c r="O38" s="47"/>
      <c r="P38" s="47"/>
      <c r="Q38" s="47">
        <v>1.5</v>
      </c>
      <c r="R38" s="47"/>
      <c r="S38" s="47">
        <v>2</v>
      </c>
      <c r="T38" s="47">
        <v>2</v>
      </c>
      <c r="U38" s="47"/>
      <c r="V38" s="47">
        <v>7</v>
      </c>
      <c r="W38" s="47"/>
      <c r="X38" s="47">
        <v>2</v>
      </c>
      <c r="Y38" s="47"/>
      <c r="Z38" s="47">
        <v>7</v>
      </c>
      <c r="AA38" s="47"/>
      <c r="AB38" s="47">
        <v>2</v>
      </c>
      <c r="AC38" s="47">
        <v>2</v>
      </c>
      <c r="AD38" s="47">
        <v>2</v>
      </c>
      <c r="AE38" s="47"/>
      <c r="AF38" s="47"/>
      <c r="AG38" s="47"/>
      <c r="AH38" s="47">
        <v>2</v>
      </c>
      <c r="AI38" s="47">
        <v>2</v>
      </c>
      <c r="AJ38" s="47"/>
      <c r="AK38" s="47"/>
      <c r="AL38" s="47">
        <v>2</v>
      </c>
      <c r="AM38" s="28">
        <f t="shared" si="0"/>
        <v>37.5</v>
      </c>
      <c r="AN38" s="28"/>
    </row>
    <row r="39" spans="1:40">
      <c r="A39" s="28">
        <v>37</v>
      </c>
      <c r="B39" s="29">
        <v>500183</v>
      </c>
      <c r="C39" s="28" t="s">
        <v>89</v>
      </c>
      <c r="D39" s="28"/>
      <c r="E39" s="28">
        <v>20151023</v>
      </c>
      <c r="F39" s="28"/>
      <c r="G39" s="29" t="s">
        <v>51</v>
      </c>
      <c r="H39" s="30" t="s">
        <v>90</v>
      </c>
      <c r="I39" s="28" t="s">
        <v>91</v>
      </c>
      <c r="J39" s="28" t="s">
        <v>58</v>
      </c>
      <c r="K39" s="47"/>
      <c r="L39" s="47"/>
      <c r="M39" s="47"/>
      <c r="N39" s="47"/>
      <c r="O39" s="47"/>
      <c r="P39" s="47"/>
      <c r="Q39" s="47">
        <v>4</v>
      </c>
      <c r="R39" s="47"/>
      <c r="S39" s="47">
        <v>2</v>
      </c>
      <c r="T39" s="47"/>
      <c r="U39" s="47"/>
      <c r="V39" s="47">
        <v>8</v>
      </c>
      <c r="W39" s="47">
        <v>8</v>
      </c>
      <c r="X39" s="47"/>
      <c r="Y39" s="47"/>
      <c r="Z39" s="47">
        <v>8</v>
      </c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>
        <v>4</v>
      </c>
      <c r="AM39" s="28">
        <f t="shared" si="0"/>
        <v>34</v>
      </c>
      <c r="AN39" s="28"/>
    </row>
    <row r="40" spans="1:40">
      <c r="A40" s="28">
        <v>38</v>
      </c>
      <c r="B40" s="29">
        <v>500278</v>
      </c>
      <c r="C40" s="28" t="s">
        <v>107</v>
      </c>
      <c r="D40" s="28"/>
      <c r="E40" s="28">
        <v>20160218</v>
      </c>
      <c r="F40" s="28"/>
      <c r="G40" s="29" t="s">
        <v>51</v>
      </c>
      <c r="H40" s="30" t="s">
        <v>90</v>
      </c>
      <c r="I40" s="28" t="s">
        <v>91</v>
      </c>
      <c r="J40" s="28" t="s">
        <v>58</v>
      </c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>
        <v>7</v>
      </c>
      <c r="W40" s="47">
        <v>7</v>
      </c>
      <c r="X40" s="47">
        <v>2</v>
      </c>
      <c r="Y40" s="47"/>
      <c r="Z40" s="47">
        <v>7</v>
      </c>
      <c r="AA40" s="47">
        <v>7</v>
      </c>
      <c r="AB40" s="47"/>
      <c r="AC40" s="47"/>
      <c r="AD40" s="47"/>
      <c r="AE40" s="47">
        <v>2</v>
      </c>
      <c r="AF40" s="47"/>
      <c r="AG40" s="47"/>
      <c r="AH40" s="47"/>
      <c r="AI40" s="47"/>
      <c r="AJ40" s="47"/>
      <c r="AK40" s="47"/>
      <c r="AL40" s="47"/>
      <c r="AM40" s="28">
        <f t="shared" si="0"/>
        <v>32</v>
      </c>
      <c r="AN40" s="28"/>
    </row>
    <row r="41" spans="1:40">
      <c r="A41" s="28">
        <v>39</v>
      </c>
      <c r="B41" s="29">
        <v>500546</v>
      </c>
      <c r="C41" s="28" t="s">
        <v>152</v>
      </c>
      <c r="D41" s="28"/>
      <c r="E41" s="28">
        <v>20170523</v>
      </c>
      <c r="F41" s="28"/>
      <c r="G41" s="29" t="s">
        <v>51</v>
      </c>
      <c r="H41" s="30" t="s">
        <v>90</v>
      </c>
      <c r="I41" s="28" t="s">
        <v>91</v>
      </c>
      <c r="J41" s="28" t="s">
        <v>54</v>
      </c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>
        <v>1</v>
      </c>
      <c r="AL41" s="47">
        <v>0.5</v>
      </c>
      <c r="AM41" s="28">
        <f t="shared" si="0"/>
        <v>1.5</v>
      </c>
      <c r="AN41" s="28"/>
    </row>
    <row r="42" spans="1:40">
      <c r="A42" s="28">
        <v>40</v>
      </c>
      <c r="B42" s="29">
        <v>500793</v>
      </c>
      <c r="C42" s="28" t="s">
        <v>171</v>
      </c>
      <c r="D42" s="28"/>
      <c r="E42" s="28">
        <v>20180911</v>
      </c>
      <c r="F42" s="28"/>
      <c r="G42" s="29" t="s">
        <v>51</v>
      </c>
      <c r="H42" s="30" t="s">
        <v>90</v>
      </c>
      <c r="I42" s="28" t="s">
        <v>91</v>
      </c>
      <c r="J42" s="28" t="s">
        <v>58</v>
      </c>
      <c r="K42" s="47"/>
      <c r="L42" s="47"/>
      <c r="M42" s="47"/>
      <c r="N42" s="47"/>
      <c r="O42" s="47"/>
      <c r="P42" s="47"/>
      <c r="Q42" s="47">
        <v>4</v>
      </c>
      <c r="R42" s="47"/>
      <c r="S42" s="47"/>
      <c r="T42" s="47"/>
      <c r="U42" s="47"/>
      <c r="V42" s="47">
        <v>8</v>
      </c>
      <c r="W42" s="47">
        <v>8</v>
      </c>
      <c r="X42" s="47">
        <v>4</v>
      </c>
      <c r="Y42" s="47"/>
      <c r="Z42" s="47">
        <v>8</v>
      </c>
      <c r="AA42" s="47">
        <v>8</v>
      </c>
      <c r="AB42" s="47"/>
      <c r="AC42" s="47"/>
      <c r="AD42" s="47"/>
      <c r="AE42" s="47">
        <v>4</v>
      </c>
      <c r="AF42" s="47"/>
      <c r="AG42" s="47"/>
      <c r="AH42" s="47"/>
      <c r="AI42" s="47"/>
      <c r="AJ42" s="47"/>
      <c r="AK42" s="47"/>
      <c r="AL42" s="47">
        <v>4</v>
      </c>
      <c r="AM42" s="28">
        <f t="shared" si="0"/>
        <v>48</v>
      </c>
      <c r="AN42" s="28"/>
    </row>
    <row r="43" spans="1:40">
      <c r="A43" s="28">
        <v>41</v>
      </c>
      <c r="B43" s="29">
        <v>501058</v>
      </c>
      <c r="C43" s="28" t="s">
        <v>194</v>
      </c>
      <c r="D43" s="28"/>
      <c r="E43" s="28">
        <v>20210622</v>
      </c>
      <c r="F43" s="28"/>
      <c r="G43" s="29" t="s">
        <v>51</v>
      </c>
      <c r="H43" s="30" t="s">
        <v>90</v>
      </c>
      <c r="I43" s="28" t="s">
        <v>91</v>
      </c>
      <c r="J43" s="28" t="s">
        <v>58</v>
      </c>
      <c r="K43" s="47"/>
      <c r="L43" s="47"/>
      <c r="M43" s="47">
        <v>2</v>
      </c>
      <c r="N43" s="47">
        <v>2</v>
      </c>
      <c r="O43" s="47"/>
      <c r="P43" s="47">
        <v>2</v>
      </c>
      <c r="Q43" s="47"/>
      <c r="R43" s="47">
        <v>2</v>
      </c>
      <c r="S43" s="47"/>
      <c r="T43" s="47">
        <v>2</v>
      </c>
      <c r="U43" s="47">
        <v>2</v>
      </c>
      <c r="V43" s="47">
        <v>7</v>
      </c>
      <c r="W43" s="47">
        <v>7</v>
      </c>
      <c r="X43" s="47">
        <v>2</v>
      </c>
      <c r="Y43" s="47">
        <v>2</v>
      </c>
      <c r="Z43" s="47"/>
      <c r="AA43" s="47">
        <v>7</v>
      </c>
      <c r="AB43" s="47">
        <v>2</v>
      </c>
      <c r="AC43" s="47">
        <v>2</v>
      </c>
      <c r="AD43" s="47">
        <v>2</v>
      </c>
      <c r="AE43" s="47">
        <v>2</v>
      </c>
      <c r="AF43" s="47">
        <v>2</v>
      </c>
      <c r="AG43" s="47"/>
      <c r="AH43" s="47">
        <v>2</v>
      </c>
      <c r="AI43" s="47">
        <v>2</v>
      </c>
      <c r="AJ43" s="47">
        <v>2</v>
      </c>
      <c r="AK43" s="47">
        <v>2</v>
      </c>
      <c r="AL43" s="47">
        <v>2</v>
      </c>
      <c r="AM43" s="28">
        <f t="shared" si="0"/>
        <v>57</v>
      </c>
      <c r="AN43" s="28"/>
    </row>
    <row r="44" spans="1:40">
      <c r="A44" s="28">
        <v>42</v>
      </c>
      <c r="B44" s="29">
        <v>501088</v>
      </c>
      <c r="C44" s="28" t="s">
        <v>198</v>
      </c>
      <c r="D44" s="28"/>
      <c r="E44" s="28">
        <v>20211123</v>
      </c>
      <c r="F44" s="28"/>
      <c r="G44" s="29" t="s">
        <v>51</v>
      </c>
      <c r="H44" s="30" t="s">
        <v>90</v>
      </c>
      <c r="I44" s="28" t="s">
        <v>91</v>
      </c>
      <c r="J44" s="28" t="s">
        <v>58</v>
      </c>
      <c r="K44" s="47"/>
      <c r="L44" s="47"/>
      <c r="M44" s="47"/>
      <c r="N44" s="47"/>
      <c r="O44" s="47"/>
      <c r="P44" s="47"/>
      <c r="Q44" s="47"/>
      <c r="R44" s="47"/>
      <c r="S44" s="47"/>
      <c r="T44" s="47">
        <v>2</v>
      </c>
      <c r="U44" s="47">
        <v>1.5</v>
      </c>
      <c r="V44" s="47">
        <v>7</v>
      </c>
      <c r="W44" s="47">
        <v>7</v>
      </c>
      <c r="X44" s="47"/>
      <c r="Y44" s="47"/>
      <c r="Z44" s="47">
        <v>7</v>
      </c>
      <c r="AA44" s="47">
        <v>7</v>
      </c>
      <c r="AB44" s="47"/>
      <c r="AC44" s="47">
        <v>1.5</v>
      </c>
      <c r="AD44" s="47"/>
      <c r="AE44" s="47"/>
      <c r="AF44" s="47"/>
      <c r="AG44" s="47"/>
      <c r="AH44" s="47"/>
      <c r="AI44" s="47">
        <v>1.5</v>
      </c>
      <c r="AJ44" s="47">
        <v>1.5</v>
      </c>
      <c r="AK44" s="47">
        <v>1.5</v>
      </c>
      <c r="AL44" s="47"/>
      <c r="AM44" s="28">
        <f t="shared" si="0"/>
        <v>37.5</v>
      </c>
      <c r="AN44" s="28"/>
    </row>
    <row r="45" spans="1:40">
      <c r="A45" s="28">
        <v>43</v>
      </c>
      <c r="B45" s="29">
        <v>501091</v>
      </c>
      <c r="C45" s="28" t="s">
        <v>199</v>
      </c>
      <c r="D45" s="28"/>
      <c r="E45" s="28">
        <v>20211125</v>
      </c>
      <c r="F45" s="28"/>
      <c r="G45" s="29" t="s">
        <v>51</v>
      </c>
      <c r="H45" s="30" t="s">
        <v>90</v>
      </c>
      <c r="I45" s="28" t="s">
        <v>91</v>
      </c>
      <c r="J45" s="28" t="s">
        <v>58</v>
      </c>
      <c r="K45" s="47"/>
      <c r="L45" s="47">
        <v>2</v>
      </c>
      <c r="M45" s="47">
        <v>2</v>
      </c>
      <c r="N45" s="47">
        <v>2</v>
      </c>
      <c r="O45" s="47"/>
      <c r="P45" s="47">
        <v>2</v>
      </c>
      <c r="Q45" s="47">
        <v>2</v>
      </c>
      <c r="R45" s="47"/>
      <c r="S45" s="47">
        <v>2</v>
      </c>
      <c r="T45" s="47"/>
      <c r="U45" s="47">
        <v>2</v>
      </c>
      <c r="V45" s="47">
        <v>7</v>
      </c>
      <c r="W45" s="47">
        <v>7</v>
      </c>
      <c r="X45" s="47">
        <v>2</v>
      </c>
      <c r="Y45" s="47"/>
      <c r="Z45" s="47">
        <v>7</v>
      </c>
      <c r="AA45" s="47">
        <v>7</v>
      </c>
      <c r="AB45" s="47">
        <v>2</v>
      </c>
      <c r="AC45" s="47">
        <v>2</v>
      </c>
      <c r="AD45" s="47">
        <v>2</v>
      </c>
      <c r="AE45" s="47">
        <v>2</v>
      </c>
      <c r="AF45" s="47"/>
      <c r="AG45" s="47">
        <v>2</v>
      </c>
      <c r="AH45" s="47">
        <v>2</v>
      </c>
      <c r="AI45" s="47">
        <v>2</v>
      </c>
      <c r="AJ45" s="47">
        <v>2</v>
      </c>
      <c r="AK45" s="47"/>
      <c r="AL45" s="47"/>
      <c r="AM45" s="28">
        <f t="shared" si="0"/>
        <v>60</v>
      </c>
      <c r="AN45" s="28"/>
    </row>
    <row r="46" spans="1:40">
      <c r="A46" s="28">
        <v>44</v>
      </c>
      <c r="B46" s="29">
        <v>501109</v>
      </c>
      <c r="C46" s="28" t="s">
        <v>201</v>
      </c>
      <c r="D46" s="28"/>
      <c r="E46" s="28">
        <v>20220127</v>
      </c>
      <c r="F46" s="28"/>
      <c r="G46" s="29" t="s">
        <v>51</v>
      </c>
      <c r="H46" s="30" t="s">
        <v>90</v>
      </c>
      <c r="I46" s="28" t="s">
        <v>91</v>
      </c>
      <c r="J46" s="28" t="s">
        <v>58</v>
      </c>
      <c r="K46" s="47"/>
      <c r="L46" s="47">
        <v>0.5</v>
      </c>
      <c r="M46" s="47"/>
      <c r="N46" s="47"/>
      <c r="O46" s="47"/>
      <c r="P46" s="47">
        <v>0.5</v>
      </c>
      <c r="Q46" s="47"/>
      <c r="R46" s="47"/>
      <c r="S46" s="47">
        <v>0.5</v>
      </c>
      <c r="T46" s="47">
        <v>0.5</v>
      </c>
      <c r="U46" s="47"/>
      <c r="V46" s="47"/>
      <c r="W46" s="47"/>
      <c r="X46" s="47"/>
      <c r="Y46" s="47"/>
      <c r="Z46" s="47"/>
      <c r="AA46" s="47"/>
      <c r="AB46" s="47">
        <v>0.5</v>
      </c>
      <c r="AC46" s="47">
        <v>0.5</v>
      </c>
      <c r="AD46" s="47">
        <v>0.5</v>
      </c>
      <c r="AE46" s="47"/>
      <c r="AF46" s="47"/>
      <c r="AG46" s="47"/>
      <c r="AH46" s="47"/>
      <c r="AI46" s="47"/>
      <c r="AJ46" s="47"/>
      <c r="AK46" s="47">
        <v>0.5</v>
      </c>
      <c r="AL46" s="47"/>
      <c r="AM46" s="28">
        <f t="shared" si="0"/>
        <v>4</v>
      </c>
      <c r="AN46" s="28"/>
    </row>
    <row r="47" spans="1:40">
      <c r="A47" s="28">
        <v>45</v>
      </c>
      <c r="B47" s="29">
        <v>501238</v>
      </c>
      <c r="C47" s="28" t="s">
        <v>223</v>
      </c>
      <c r="D47" s="28"/>
      <c r="E47" s="28">
        <v>20240822</v>
      </c>
      <c r="F47" s="28"/>
      <c r="G47" s="29" t="s">
        <v>51</v>
      </c>
      <c r="H47" s="30" t="s">
        <v>90</v>
      </c>
      <c r="I47" s="28" t="s">
        <v>91</v>
      </c>
      <c r="J47" s="28" t="s">
        <v>58</v>
      </c>
      <c r="K47" s="47"/>
      <c r="L47" s="47"/>
      <c r="M47" s="47">
        <v>1.5</v>
      </c>
      <c r="N47" s="47"/>
      <c r="O47" s="47"/>
      <c r="P47" s="47"/>
      <c r="Q47" s="47">
        <v>4</v>
      </c>
      <c r="R47" s="47"/>
      <c r="S47" s="47"/>
      <c r="T47" s="47"/>
      <c r="U47" s="47"/>
      <c r="V47" s="47">
        <v>8</v>
      </c>
      <c r="W47" s="47">
        <v>8</v>
      </c>
      <c r="X47" s="47">
        <v>4</v>
      </c>
      <c r="Y47" s="47"/>
      <c r="Z47" s="47">
        <v>8</v>
      </c>
      <c r="AA47" s="47">
        <v>8</v>
      </c>
      <c r="AB47" s="47"/>
      <c r="AC47" s="47"/>
      <c r="AD47" s="47"/>
      <c r="AE47" s="47">
        <v>4</v>
      </c>
      <c r="AF47" s="47"/>
      <c r="AG47" s="47"/>
      <c r="AH47" s="47"/>
      <c r="AI47" s="47"/>
      <c r="AJ47" s="47"/>
      <c r="AK47" s="47"/>
      <c r="AL47" s="47">
        <v>4</v>
      </c>
      <c r="AM47" s="28">
        <f t="shared" si="0"/>
        <v>49.5</v>
      </c>
      <c r="AN47" s="28"/>
    </row>
    <row r="48" spans="1:40">
      <c r="A48" s="28">
        <v>46</v>
      </c>
      <c r="B48" s="29">
        <v>501269</v>
      </c>
      <c r="C48" s="28" t="s">
        <v>244</v>
      </c>
      <c r="D48" s="28"/>
      <c r="E48" s="28">
        <v>20250310</v>
      </c>
      <c r="F48" s="28"/>
      <c r="G48" s="29" t="s">
        <v>51</v>
      </c>
      <c r="H48" s="30" t="s">
        <v>90</v>
      </c>
      <c r="I48" s="28" t="s">
        <v>91</v>
      </c>
      <c r="J48" s="28" t="s">
        <v>58</v>
      </c>
      <c r="K48" s="47"/>
      <c r="L48" s="47">
        <v>1.5</v>
      </c>
      <c r="M48" s="47">
        <v>1.5</v>
      </c>
      <c r="N48" s="47">
        <v>1.5</v>
      </c>
      <c r="O48" s="47"/>
      <c r="P48" s="47"/>
      <c r="Q48" s="47"/>
      <c r="R48" s="47"/>
      <c r="S48" s="47">
        <v>1.5</v>
      </c>
      <c r="T48" s="47">
        <v>1.5</v>
      </c>
      <c r="U48" s="47">
        <v>1.5</v>
      </c>
      <c r="V48" s="47">
        <v>7</v>
      </c>
      <c r="W48" s="47">
        <v>7</v>
      </c>
      <c r="X48" s="47">
        <v>1.5</v>
      </c>
      <c r="Y48" s="47"/>
      <c r="Z48" s="47"/>
      <c r="AA48" s="47"/>
      <c r="AB48" s="47">
        <v>1.5</v>
      </c>
      <c r="AC48" s="47"/>
      <c r="AD48" s="47">
        <v>1.5</v>
      </c>
      <c r="AE48" s="47"/>
      <c r="AF48" s="47"/>
      <c r="AG48" s="47">
        <v>1.5</v>
      </c>
      <c r="AH48" s="47">
        <v>1.5</v>
      </c>
      <c r="AI48" s="47">
        <v>1</v>
      </c>
      <c r="AJ48" s="47">
        <v>1.5</v>
      </c>
      <c r="AK48" s="47">
        <v>1.5</v>
      </c>
      <c r="AL48" s="47"/>
      <c r="AM48" s="28">
        <f t="shared" si="0"/>
        <v>34.5</v>
      </c>
      <c r="AN48" s="28"/>
    </row>
    <row r="49" spans="1:40">
      <c r="A49" s="28">
        <v>47</v>
      </c>
      <c r="B49" s="29">
        <v>500042</v>
      </c>
      <c r="C49" s="28" t="s">
        <v>73</v>
      </c>
      <c r="D49" s="28"/>
      <c r="E49" s="28">
        <v>20150305</v>
      </c>
      <c r="F49" s="28"/>
      <c r="G49" s="29" t="s">
        <v>51</v>
      </c>
      <c r="H49" s="30" t="s">
        <v>74</v>
      </c>
      <c r="I49" s="28" t="s">
        <v>75</v>
      </c>
      <c r="J49" s="28" t="s">
        <v>58</v>
      </c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>
        <v>8</v>
      </c>
      <c r="X49" s="47">
        <v>5</v>
      </c>
      <c r="Y49" s="47"/>
      <c r="Z49" s="47">
        <v>8</v>
      </c>
      <c r="AA49" s="47">
        <v>8</v>
      </c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28">
        <f t="shared" si="0"/>
        <v>29</v>
      </c>
      <c r="AN49" s="28"/>
    </row>
    <row r="50" spans="1:40">
      <c r="A50" s="28">
        <v>48</v>
      </c>
      <c r="B50" s="29">
        <v>500126</v>
      </c>
      <c r="C50" s="28" t="s">
        <v>87</v>
      </c>
      <c r="D50" s="28"/>
      <c r="E50" s="28">
        <v>20150729</v>
      </c>
      <c r="F50" s="28"/>
      <c r="G50" s="29" t="s">
        <v>51</v>
      </c>
      <c r="H50" s="30" t="s">
        <v>74</v>
      </c>
      <c r="I50" s="28" t="s">
        <v>75</v>
      </c>
      <c r="J50" s="28" t="s">
        <v>58</v>
      </c>
      <c r="K50" s="47"/>
      <c r="L50" s="47"/>
      <c r="M50" s="47">
        <v>1.5</v>
      </c>
      <c r="N50" s="47">
        <v>1.5</v>
      </c>
      <c r="O50" s="47"/>
      <c r="P50" s="47"/>
      <c r="Q50" s="47">
        <v>2.5</v>
      </c>
      <c r="R50" s="47"/>
      <c r="S50" s="47"/>
      <c r="T50" s="47">
        <v>1.5</v>
      </c>
      <c r="U50" s="47">
        <v>1</v>
      </c>
      <c r="V50" s="47">
        <v>8</v>
      </c>
      <c r="W50" s="47">
        <v>8</v>
      </c>
      <c r="X50" s="47">
        <v>5</v>
      </c>
      <c r="Y50" s="47"/>
      <c r="Z50" s="47"/>
      <c r="AA50" s="47">
        <v>8</v>
      </c>
      <c r="AB50" s="47"/>
      <c r="AC50" s="47">
        <v>1</v>
      </c>
      <c r="AD50" s="47"/>
      <c r="AE50" s="47">
        <v>1</v>
      </c>
      <c r="AF50" s="47"/>
      <c r="AG50" s="47"/>
      <c r="AH50" s="47">
        <v>1</v>
      </c>
      <c r="AI50" s="47"/>
      <c r="AJ50" s="47"/>
      <c r="AK50" s="47"/>
      <c r="AL50" s="47"/>
      <c r="AM50" s="28">
        <f t="shared" si="0"/>
        <v>40</v>
      </c>
      <c r="AN50" s="28"/>
    </row>
    <row r="51" spans="1:40">
      <c r="A51" s="28">
        <v>49</v>
      </c>
      <c r="B51" s="29">
        <v>500226</v>
      </c>
      <c r="C51" s="28" t="s">
        <v>100</v>
      </c>
      <c r="D51" s="28"/>
      <c r="E51" s="28">
        <v>20151210</v>
      </c>
      <c r="F51" s="28"/>
      <c r="G51" s="29" t="s">
        <v>51</v>
      </c>
      <c r="H51" s="30" t="s">
        <v>74</v>
      </c>
      <c r="I51" s="28" t="s">
        <v>75</v>
      </c>
      <c r="J51" s="28" t="s">
        <v>54</v>
      </c>
      <c r="K51" s="47"/>
      <c r="L51" s="47">
        <v>2</v>
      </c>
      <c r="M51" s="47"/>
      <c r="N51" s="47">
        <v>2</v>
      </c>
      <c r="O51" s="47"/>
      <c r="P51" s="47">
        <v>2</v>
      </c>
      <c r="Q51" s="47">
        <v>5</v>
      </c>
      <c r="R51" s="47"/>
      <c r="S51" s="47"/>
      <c r="T51" s="47">
        <v>2</v>
      </c>
      <c r="U51" s="47">
        <v>2</v>
      </c>
      <c r="V51" s="47"/>
      <c r="W51" s="47"/>
      <c r="X51" s="47">
        <v>5</v>
      </c>
      <c r="Y51" s="47"/>
      <c r="Z51" s="47"/>
      <c r="AA51" s="47"/>
      <c r="AB51" s="47">
        <v>2</v>
      </c>
      <c r="AC51" s="47"/>
      <c r="AD51" s="47">
        <v>2</v>
      </c>
      <c r="AE51" s="47">
        <v>5</v>
      </c>
      <c r="AF51" s="47"/>
      <c r="AG51" s="47"/>
      <c r="AH51" s="47">
        <v>2</v>
      </c>
      <c r="AI51" s="47">
        <v>1.5</v>
      </c>
      <c r="AJ51" s="47"/>
      <c r="AK51" s="47">
        <v>2</v>
      </c>
      <c r="AL51" s="47">
        <v>5</v>
      </c>
      <c r="AM51" s="28">
        <f t="shared" si="0"/>
        <v>39.5</v>
      </c>
      <c r="AN51" s="28"/>
    </row>
    <row r="52" spans="1:40">
      <c r="A52" s="28">
        <v>50</v>
      </c>
      <c r="B52" s="29">
        <v>500366</v>
      </c>
      <c r="C52" s="28" t="s">
        <v>123</v>
      </c>
      <c r="D52" s="28"/>
      <c r="E52" s="28">
        <v>20160901</v>
      </c>
      <c r="F52" s="28"/>
      <c r="G52" s="29" t="s">
        <v>51</v>
      </c>
      <c r="H52" s="30" t="s">
        <v>74</v>
      </c>
      <c r="I52" s="28" t="s">
        <v>75</v>
      </c>
      <c r="J52" s="28" t="s">
        <v>54</v>
      </c>
      <c r="K52" s="47"/>
      <c r="L52" s="47"/>
      <c r="M52" s="47">
        <v>1</v>
      </c>
      <c r="N52" s="47">
        <v>1</v>
      </c>
      <c r="O52" s="47"/>
      <c r="P52" s="47">
        <v>1.5</v>
      </c>
      <c r="Q52" s="47"/>
      <c r="R52" s="47"/>
      <c r="S52" s="47">
        <v>2</v>
      </c>
      <c r="T52" s="47">
        <v>0.5</v>
      </c>
      <c r="U52" s="47">
        <v>2</v>
      </c>
      <c r="V52" s="47"/>
      <c r="W52" s="47"/>
      <c r="X52" s="47">
        <v>5</v>
      </c>
      <c r="Y52" s="47"/>
      <c r="Z52" s="47">
        <v>8</v>
      </c>
      <c r="AA52" s="47">
        <v>8</v>
      </c>
      <c r="AB52" s="47"/>
      <c r="AC52" s="47">
        <v>0.5</v>
      </c>
      <c r="AD52" s="47">
        <v>2</v>
      </c>
      <c r="AE52" s="47">
        <v>5</v>
      </c>
      <c r="AF52" s="47"/>
      <c r="AG52" s="47">
        <v>2</v>
      </c>
      <c r="AH52" s="47">
        <v>1.5</v>
      </c>
      <c r="AI52" s="47"/>
      <c r="AJ52" s="47">
        <v>2</v>
      </c>
      <c r="AK52" s="47">
        <v>2</v>
      </c>
      <c r="AL52" s="47">
        <v>5</v>
      </c>
      <c r="AM52" s="28">
        <f t="shared" si="0"/>
        <v>49</v>
      </c>
      <c r="AN52" s="28"/>
    </row>
    <row r="53" spans="1:40">
      <c r="A53" s="28">
        <v>51</v>
      </c>
      <c r="B53" s="29">
        <v>500436</v>
      </c>
      <c r="C53" s="28" t="s">
        <v>138</v>
      </c>
      <c r="D53" s="28"/>
      <c r="E53" s="28">
        <v>20161227</v>
      </c>
      <c r="F53" s="28"/>
      <c r="G53" s="29" t="s">
        <v>51</v>
      </c>
      <c r="H53" s="30" t="s">
        <v>74</v>
      </c>
      <c r="I53" s="28" t="s">
        <v>75</v>
      </c>
      <c r="J53" s="28" t="s">
        <v>54</v>
      </c>
      <c r="K53" s="47"/>
      <c r="L53" s="47"/>
      <c r="M53" s="47"/>
      <c r="N53" s="47"/>
      <c r="O53" s="47"/>
      <c r="P53" s="47">
        <v>2</v>
      </c>
      <c r="Q53" s="47">
        <v>5</v>
      </c>
      <c r="R53" s="47"/>
      <c r="S53" s="47"/>
      <c r="T53" s="47"/>
      <c r="U53" s="47">
        <v>2</v>
      </c>
      <c r="V53" s="47"/>
      <c r="W53" s="47"/>
      <c r="X53" s="47">
        <v>4</v>
      </c>
      <c r="Y53" s="47"/>
      <c r="Z53" s="47"/>
      <c r="AA53" s="47"/>
      <c r="AB53" s="47"/>
      <c r="AC53" s="47"/>
      <c r="AD53" s="47">
        <v>1</v>
      </c>
      <c r="AE53" s="47"/>
      <c r="AF53" s="47"/>
      <c r="AG53" s="47"/>
      <c r="AH53" s="47">
        <v>1</v>
      </c>
      <c r="AI53" s="47">
        <v>1.5</v>
      </c>
      <c r="AJ53" s="47">
        <v>0.5</v>
      </c>
      <c r="AK53" s="47">
        <v>0.5</v>
      </c>
      <c r="AL53" s="47">
        <v>3</v>
      </c>
      <c r="AM53" s="28">
        <f t="shared" si="0"/>
        <v>20.5</v>
      </c>
      <c r="AN53" s="28"/>
    </row>
    <row r="54" spans="1:40">
      <c r="A54" s="28">
        <v>52</v>
      </c>
      <c r="B54" s="29">
        <v>500570</v>
      </c>
      <c r="C54" s="28" t="s">
        <v>92</v>
      </c>
      <c r="D54" s="28"/>
      <c r="E54" s="28">
        <v>20170704</v>
      </c>
      <c r="F54" s="28"/>
      <c r="G54" s="29" t="s">
        <v>51</v>
      </c>
      <c r="H54" s="30" t="s">
        <v>74</v>
      </c>
      <c r="I54" s="28" t="s">
        <v>75</v>
      </c>
      <c r="J54" s="28" t="s">
        <v>54</v>
      </c>
      <c r="K54" s="47"/>
      <c r="L54" s="47">
        <v>2</v>
      </c>
      <c r="M54" s="47">
        <v>1</v>
      </c>
      <c r="N54" s="47">
        <v>1</v>
      </c>
      <c r="O54" s="47"/>
      <c r="P54" s="47">
        <v>1</v>
      </c>
      <c r="Q54" s="47">
        <v>1</v>
      </c>
      <c r="R54" s="47"/>
      <c r="S54" s="47">
        <v>1</v>
      </c>
      <c r="T54" s="47">
        <v>1</v>
      </c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>
        <v>0.5</v>
      </c>
      <c r="AF54" s="47"/>
      <c r="AG54" s="47"/>
      <c r="AH54" s="47">
        <v>1</v>
      </c>
      <c r="AI54" s="47"/>
      <c r="AJ54" s="47"/>
      <c r="AK54" s="47">
        <v>2</v>
      </c>
      <c r="AL54" s="47">
        <v>3</v>
      </c>
      <c r="AM54" s="28">
        <f t="shared" si="0"/>
        <v>14.5</v>
      </c>
      <c r="AN54" s="28"/>
    </row>
    <row r="55" spans="1:40">
      <c r="A55" s="28">
        <v>53</v>
      </c>
      <c r="B55" s="29">
        <v>500629</v>
      </c>
      <c r="C55" s="28" t="s">
        <v>156</v>
      </c>
      <c r="D55" s="28"/>
      <c r="E55" s="28">
        <v>20170919</v>
      </c>
      <c r="F55" s="28"/>
      <c r="G55" s="29" t="s">
        <v>51</v>
      </c>
      <c r="H55" s="30" t="s">
        <v>74</v>
      </c>
      <c r="I55" s="28" t="s">
        <v>75</v>
      </c>
      <c r="J55" s="28" t="s">
        <v>58</v>
      </c>
      <c r="K55" s="47"/>
      <c r="L55" s="47">
        <v>2</v>
      </c>
      <c r="M55" s="47">
        <v>2</v>
      </c>
      <c r="N55" s="47"/>
      <c r="O55" s="47"/>
      <c r="P55" s="47">
        <v>2</v>
      </c>
      <c r="Q55" s="47">
        <v>2</v>
      </c>
      <c r="R55" s="47"/>
      <c r="S55" s="47">
        <v>2</v>
      </c>
      <c r="T55" s="47">
        <v>2</v>
      </c>
      <c r="U55" s="47">
        <v>2</v>
      </c>
      <c r="V55" s="47">
        <v>7</v>
      </c>
      <c r="W55" s="47"/>
      <c r="X55" s="47"/>
      <c r="Y55" s="47"/>
      <c r="Z55" s="47"/>
      <c r="AA55" s="47">
        <v>7</v>
      </c>
      <c r="AB55" s="47">
        <v>2</v>
      </c>
      <c r="AC55" s="47">
        <v>2</v>
      </c>
      <c r="AD55" s="47">
        <v>2</v>
      </c>
      <c r="AE55" s="47"/>
      <c r="AF55" s="47"/>
      <c r="AG55" s="47"/>
      <c r="AH55" s="47"/>
      <c r="AI55" s="47"/>
      <c r="AJ55" s="47"/>
      <c r="AK55" s="47"/>
      <c r="AL55" s="47"/>
      <c r="AM55" s="28">
        <f t="shared" si="0"/>
        <v>34</v>
      </c>
      <c r="AN55" s="28"/>
    </row>
    <row r="56" spans="1:40">
      <c r="A56" s="28">
        <v>54</v>
      </c>
      <c r="B56" s="29">
        <v>500683</v>
      </c>
      <c r="C56" s="28" t="s">
        <v>158</v>
      </c>
      <c r="D56" s="28"/>
      <c r="E56" s="28">
        <v>20180201</v>
      </c>
      <c r="F56" s="28"/>
      <c r="G56" s="29" t="s">
        <v>51</v>
      </c>
      <c r="H56" s="30" t="s">
        <v>74</v>
      </c>
      <c r="I56" s="28" t="s">
        <v>75</v>
      </c>
      <c r="J56" s="28" t="s">
        <v>58</v>
      </c>
      <c r="K56" s="47"/>
      <c r="L56" s="47">
        <v>2</v>
      </c>
      <c r="M56" s="47">
        <v>2</v>
      </c>
      <c r="N56" s="47"/>
      <c r="O56" s="47"/>
      <c r="P56" s="47">
        <v>2</v>
      </c>
      <c r="Q56" s="47">
        <v>5</v>
      </c>
      <c r="R56" s="47"/>
      <c r="S56" s="47">
        <v>1.5</v>
      </c>
      <c r="T56" s="47">
        <v>1.5</v>
      </c>
      <c r="U56" s="47">
        <v>1</v>
      </c>
      <c r="V56" s="47">
        <v>8</v>
      </c>
      <c r="W56" s="47">
        <v>8</v>
      </c>
      <c r="X56" s="47">
        <v>5</v>
      </c>
      <c r="Y56" s="47"/>
      <c r="Z56" s="47">
        <v>8</v>
      </c>
      <c r="AA56" s="47">
        <v>8</v>
      </c>
      <c r="AB56" s="47">
        <v>1</v>
      </c>
      <c r="AC56" s="47">
        <v>1</v>
      </c>
      <c r="AD56" s="47">
        <v>1</v>
      </c>
      <c r="AE56" s="47">
        <v>5</v>
      </c>
      <c r="AF56" s="47"/>
      <c r="AG56" s="47">
        <v>1</v>
      </c>
      <c r="AH56" s="47"/>
      <c r="AI56" s="47"/>
      <c r="AJ56" s="47"/>
      <c r="AK56" s="47">
        <v>1.5</v>
      </c>
      <c r="AL56" s="47"/>
      <c r="AM56" s="28">
        <f t="shared" si="0"/>
        <v>62.5</v>
      </c>
      <c r="AN56" s="28"/>
    </row>
    <row r="57" spans="1:40">
      <c r="A57" s="28">
        <v>55</v>
      </c>
      <c r="B57" s="29">
        <v>500699</v>
      </c>
      <c r="C57" s="28" t="s">
        <v>161</v>
      </c>
      <c r="D57" s="28"/>
      <c r="E57" s="28">
        <v>20180306</v>
      </c>
      <c r="F57" s="28"/>
      <c r="G57" s="29" t="s">
        <v>51</v>
      </c>
      <c r="H57" s="30" t="s">
        <v>74</v>
      </c>
      <c r="I57" s="28" t="s">
        <v>75</v>
      </c>
      <c r="J57" s="28" t="s">
        <v>54</v>
      </c>
      <c r="K57" s="47"/>
      <c r="L57" s="47"/>
      <c r="M57" s="47"/>
      <c r="N57" s="47">
        <v>2</v>
      </c>
      <c r="O57" s="47"/>
      <c r="P57" s="47"/>
      <c r="Q57" s="47"/>
      <c r="R57" s="47"/>
      <c r="S57" s="47">
        <v>0.5</v>
      </c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>
        <v>0.5</v>
      </c>
      <c r="AF57" s="47"/>
      <c r="AG57" s="47"/>
      <c r="AH57" s="47"/>
      <c r="AI57" s="47"/>
      <c r="AJ57" s="47"/>
      <c r="AK57" s="47"/>
      <c r="AL57" s="47"/>
      <c r="AM57" s="28">
        <f t="shared" si="0"/>
        <v>3</v>
      </c>
      <c r="AN57" s="28"/>
    </row>
    <row r="58" spans="1:40">
      <c r="A58" s="28">
        <v>56</v>
      </c>
      <c r="B58" s="29">
        <v>500995</v>
      </c>
      <c r="C58" s="28" t="s">
        <v>191</v>
      </c>
      <c r="D58" s="28"/>
      <c r="E58" s="28">
        <v>20200514</v>
      </c>
      <c r="F58" s="28"/>
      <c r="G58" s="29" t="s">
        <v>51</v>
      </c>
      <c r="H58" s="30" t="s">
        <v>74</v>
      </c>
      <c r="I58" s="28" t="s">
        <v>75</v>
      </c>
      <c r="J58" s="28" t="s">
        <v>58</v>
      </c>
      <c r="K58" s="47"/>
      <c r="L58" s="47"/>
      <c r="M58" s="47"/>
      <c r="N58" s="47"/>
      <c r="O58" s="47"/>
      <c r="P58" s="47"/>
      <c r="Q58" s="47">
        <v>2</v>
      </c>
      <c r="R58" s="47"/>
      <c r="S58" s="47">
        <v>2</v>
      </c>
      <c r="T58" s="47"/>
      <c r="U58" s="47"/>
      <c r="V58" s="47">
        <v>7</v>
      </c>
      <c r="W58" s="47">
        <v>7</v>
      </c>
      <c r="X58" s="47"/>
      <c r="Y58" s="47"/>
      <c r="Z58" s="47"/>
      <c r="AA58" s="47"/>
      <c r="AB58" s="47"/>
      <c r="AC58" s="47"/>
      <c r="AD58" s="47"/>
      <c r="AE58" s="47">
        <v>2</v>
      </c>
      <c r="AF58" s="47"/>
      <c r="AG58" s="47"/>
      <c r="AH58" s="47"/>
      <c r="AI58" s="47"/>
      <c r="AJ58" s="47"/>
      <c r="AK58" s="47">
        <v>2</v>
      </c>
      <c r="AL58" s="47"/>
      <c r="AM58" s="28">
        <f t="shared" si="0"/>
        <v>22</v>
      </c>
      <c r="AN58" s="28"/>
    </row>
    <row r="59" spans="1:40">
      <c r="A59" s="28">
        <v>57</v>
      </c>
      <c r="B59" s="29">
        <v>501036</v>
      </c>
      <c r="C59" s="28" t="s">
        <v>192</v>
      </c>
      <c r="D59" s="28"/>
      <c r="E59" s="28">
        <v>20210503</v>
      </c>
      <c r="F59" s="28"/>
      <c r="G59" s="29" t="s">
        <v>51</v>
      </c>
      <c r="H59" s="30" t="s">
        <v>74</v>
      </c>
      <c r="I59" s="28" t="s">
        <v>75</v>
      </c>
      <c r="J59" s="28" t="s">
        <v>54</v>
      </c>
      <c r="K59" s="47"/>
      <c r="L59" s="47"/>
      <c r="M59" s="47">
        <v>0.5</v>
      </c>
      <c r="N59" s="47"/>
      <c r="O59" s="47"/>
      <c r="P59" s="47">
        <v>0.5</v>
      </c>
      <c r="Q59" s="47">
        <v>3.5</v>
      </c>
      <c r="R59" s="47"/>
      <c r="S59" s="47">
        <v>2</v>
      </c>
      <c r="T59" s="47"/>
      <c r="U59" s="47">
        <v>2</v>
      </c>
      <c r="V59" s="47"/>
      <c r="W59" s="47"/>
      <c r="X59" s="47">
        <v>5</v>
      </c>
      <c r="Y59" s="47"/>
      <c r="Z59" s="47"/>
      <c r="AA59" s="47">
        <v>8</v>
      </c>
      <c r="AB59" s="47"/>
      <c r="AC59" s="47">
        <v>0.5</v>
      </c>
      <c r="AD59" s="47"/>
      <c r="AE59" s="47">
        <v>1</v>
      </c>
      <c r="AF59" s="47"/>
      <c r="AG59" s="47">
        <v>1.5</v>
      </c>
      <c r="AH59" s="47">
        <v>1</v>
      </c>
      <c r="AI59" s="47">
        <v>1</v>
      </c>
      <c r="AJ59" s="47">
        <v>1.5</v>
      </c>
      <c r="AK59" s="47">
        <v>2</v>
      </c>
      <c r="AL59" s="47">
        <v>3</v>
      </c>
      <c r="AM59" s="28">
        <f t="shared" si="0"/>
        <v>33</v>
      </c>
      <c r="AN59" s="28"/>
    </row>
    <row r="60" spans="1:40">
      <c r="A60" s="28">
        <v>58</v>
      </c>
      <c r="B60" s="29">
        <v>501081</v>
      </c>
      <c r="C60" s="28" t="s">
        <v>196</v>
      </c>
      <c r="D60" s="28"/>
      <c r="E60" s="28">
        <v>20211102</v>
      </c>
      <c r="F60" s="28"/>
      <c r="G60" s="29" t="s">
        <v>51</v>
      </c>
      <c r="H60" s="30" t="s">
        <v>74</v>
      </c>
      <c r="I60" s="28" t="s">
        <v>75</v>
      </c>
      <c r="J60" s="28" t="s">
        <v>54</v>
      </c>
      <c r="K60" s="47"/>
      <c r="L60" s="47">
        <v>2</v>
      </c>
      <c r="M60" s="47">
        <v>2</v>
      </c>
      <c r="N60" s="47">
        <v>2</v>
      </c>
      <c r="O60" s="47"/>
      <c r="P60" s="47">
        <v>2</v>
      </c>
      <c r="Q60" s="47"/>
      <c r="R60" s="47"/>
      <c r="S60" s="47">
        <v>2</v>
      </c>
      <c r="T60" s="47">
        <v>2</v>
      </c>
      <c r="U60" s="47"/>
      <c r="V60" s="47"/>
      <c r="W60" s="47"/>
      <c r="X60" s="47">
        <v>5</v>
      </c>
      <c r="Y60" s="47"/>
      <c r="Z60" s="47">
        <v>8</v>
      </c>
      <c r="AA60" s="47">
        <v>8</v>
      </c>
      <c r="AB60" s="47"/>
      <c r="AC60" s="47"/>
      <c r="AD60" s="47"/>
      <c r="AE60" s="47">
        <v>5</v>
      </c>
      <c r="AF60" s="47"/>
      <c r="AG60" s="47"/>
      <c r="AH60" s="47"/>
      <c r="AI60" s="47"/>
      <c r="AJ60" s="47"/>
      <c r="AK60" s="47"/>
      <c r="AL60" s="47">
        <v>5</v>
      </c>
      <c r="AM60" s="28">
        <f t="shared" si="0"/>
        <v>43</v>
      </c>
      <c r="AN60" s="28"/>
    </row>
    <row r="61" spans="1:40">
      <c r="A61" s="28">
        <v>59</v>
      </c>
      <c r="B61" s="29">
        <v>501167</v>
      </c>
      <c r="C61" s="28" t="s">
        <v>206</v>
      </c>
      <c r="D61" s="28"/>
      <c r="E61" s="28">
        <v>20221123</v>
      </c>
      <c r="F61" s="28"/>
      <c r="G61" s="29" t="s">
        <v>51</v>
      </c>
      <c r="H61" s="30" t="s">
        <v>74</v>
      </c>
      <c r="I61" s="28" t="s">
        <v>75</v>
      </c>
      <c r="J61" s="28" t="s">
        <v>58</v>
      </c>
      <c r="K61" s="47"/>
      <c r="L61" s="47">
        <v>2</v>
      </c>
      <c r="M61" s="47"/>
      <c r="N61" s="47">
        <v>2</v>
      </c>
      <c r="O61" s="47"/>
      <c r="P61" s="47">
        <v>2</v>
      </c>
      <c r="Q61" s="47">
        <v>2</v>
      </c>
      <c r="R61" s="47">
        <v>1</v>
      </c>
      <c r="S61" s="47">
        <v>2</v>
      </c>
      <c r="T61" s="47"/>
      <c r="U61" s="47">
        <v>2</v>
      </c>
      <c r="V61" s="47">
        <v>7</v>
      </c>
      <c r="W61" s="47">
        <v>7</v>
      </c>
      <c r="X61" s="47">
        <v>2</v>
      </c>
      <c r="Y61" s="47"/>
      <c r="Z61" s="47"/>
      <c r="AA61" s="47"/>
      <c r="AB61" s="47">
        <v>2</v>
      </c>
      <c r="AC61" s="47">
        <v>1.5</v>
      </c>
      <c r="AD61" s="47">
        <v>1</v>
      </c>
      <c r="AE61" s="47">
        <v>2</v>
      </c>
      <c r="AF61" s="47">
        <v>1</v>
      </c>
      <c r="AG61" s="47">
        <v>2</v>
      </c>
      <c r="AH61" s="47"/>
      <c r="AI61" s="47">
        <v>2</v>
      </c>
      <c r="AJ61" s="47">
        <v>2</v>
      </c>
      <c r="AK61" s="47">
        <v>2</v>
      </c>
      <c r="AL61" s="47"/>
      <c r="AM61" s="28">
        <f t="shared" si="0"/>
        <v>44.5</v>
      </c>
      <c r="AN61" s="28"/>
    </row>
    <row r="62" spans="1:40">
      <c r="A62" s="28">
        <v>60</v>
      </c>
      <c r="B62" s="29">
        <v>501177</v>
      </c>
      <c r="C62" s="28" t="s">
        <v>207</v>
      </c>
      <c r="D62" s="28"/>
      <c r="E62" s="28">
        <v>20230223</v>
      </c>
      <c r="F62" s="28"/>
      <c r="G62" s="29" t="s">
        <v>51</v>
      </c>
      <c r="H62" s="30" t="s">
        <v>74</v>
      </c>
      <c r="I62" s="28" t="s">
        <v>75</v>
      </c>
      <c r="J62" s="28" t="s">
        <v>58</v>
      </c>
      <c r="K62" s="47"/>
      <c r="L62" s="47"/>
      <c r="M62" s="47">
        <v>2</v>
      </c>
      <c r="N62" s="47">
        <v>2</v>
      </c>
      <c r="O62" s="47"/>
      <c r="P62" s="47">
        <v>2</v>
      </c>
      <c r="Q62" s="47">
        <v>2</v>
      </c>
      <c r="R62" s="47"/>
      <c r="S62" s="47"/>
      <c r="T62" s="47">
        <v>2</v>
      </c>
      <c r="U62" s="47">
        <v>2</v>
      </c>
      <c r="V62" s="47">
        <v>7</v>
      </c>
      <c r="W62" s="47">
        <v>7</v>
      </c>
      <c r="X62" s="47"/>
      <c r="Y62" s="47"/>
      <c r="Z62" s="47"/>
      <c r="AA62" s="47"/>
      <c r="AB62" s="47">
        <v>2</v>
      </c>
      <c r="AC62" s="47">
        <v>2</v>
      </c>
      <c r="AD62" s="47">
        <v>2</v>
      </c>
      <c r="AE62" s="47">
        <v>2</v>
      </c>
      <c r="AF62" s="47"/>
      <c r="AG62" s="47"/>
      <c r="AH62" s="47"/>
      <c r="AI62" s="47">
        <v>2</v>
      </c>
      <c r="AJ62" s="47">
        <v>2</v>
      </c>
      <c r="AK62" s="47">
        <v>2</v>
      </c>
      <c r="AL62" s="47"/>
      <c r="AM62" s="28">
        <f t="shared" si="0"/>
        <v>40</v>
      </c>
      <c r="AN62" s="28"/>
    </row>
    <row r="63" spans="1:40">
      <c r="A63" s="28">
        <v>61</v>
      </c>
      <c r="B63" s="29">
        <v>501192</v>
      </c>
      <c r="C63" s="28" t="s">
        <v>208</v>
      </c>
      <c r="D63" s="28"/>
      <c r="E63" s="28">
        <v>20230601</v>
      </c>
      <c r="F63" s="28"/>
      <c r="G63" s="29" t="s">
        <v>51</v>
      </c>
      <c r="H63" s="30" t="s">
        <v>74</v>
      </c>
      <c r="I63" s="28" t="s">
        <v>75</v>
      </c>
      <c r="J63" s="28" t="s">
        <v>54</v>
      </c>
      <c r="K63" s="47"/>
      <c r="L63" s="47"/>
      <c r="M63" s="47"/>
      <c r="N63" s="47"/>
      <c r="O63" s="47"/>
      <c r="P63" s="47">
        <v>2</v>
      </c>
      <c r="Q63" s="47"/>
      <c r="R63" s="47"/>
      <c r="S63" s="47"/>
      <c r="T63" s="47"/>
      <c r="U63" s="47">
        <v>0.5</v>
      </c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>
        <v>1.5</v>
      </c>
      <c r="AJ63" s="47"/>
      <c r="AK63" s="47">
        <v>0.5</v>
      </c>
      <c r="AL63" s="47"/>
      <c r="AM63" s="28">
        <f t="shared" si="0"/>
        <v>4.5</v>
      </c>
      <c r="AN63" s="28"/>
    </row>
    <row r="64" spans="1:40">
      <c r="A64" s="28">
        <v>62</v>
      </c>
      <c r="B64" s="29">
        <v>501217</v>
      </c>
      <c r="C64" s="28" t="s">
        <v>215</v>
      </c>
      <c r="D64" s="28"/>
      <c r="E64" s="28">
        <v>20240524</v>
      </c>
      <c r="F64" s="28"/>
      <c r="G64" s="29" t="s">
        <v>51</v>
      </c>
      <c r="H64" s="30" t="s">
        <v>74</v>
      </c>
      <c r="I64" s="28" t="s">
        <v>75</v>
      </c>
      <c r="J64" s="28" t="s">
        <v>58</v>
      </c>
      <c r="K64" s="47"/>
      <c r="L64" s="47"/>
      <c r="M64" s="47"/>
      <c r="N64" s="47">
        <v>2</v>
      </c>
      <c r="O64" s="47"/>
      <c r="P64" s="47">
        <v>2</v>
      </c>
      <c r="Q64" s="47">
        <v>2</v>
      </c>
      <c r="R64" s="47"/>
      <c r="S64" s="47">
        <v>2</v>
      </c>
      <c r="T64" s="47"/>
      <c r="U64" s="47">
        <v>2</v>
      </c>
      <c r="V64" s="47">
        <v>7</v>
      </c>
      <c r="W64" s="47">
        <v>7</v>
      </c>
      <c r="X64" s="47"/>
      <c r="Y64" s="47"/>
      <c r="Z64" s="47">
        <v>7</v>
      </c>
      <c r="AA64" s="47"/>
      <c r="AB64" s="47">
        <v>2</v>
      </c>
      <c r="AC64" s="47">
        <v>2</v>
      </c>
      <c r="AD64" s="47">
        <v>2</v>
      </c>
      <c r="AE64" s="47">
        <v>2</v>
      </c>
      <c r="AF64" s="47"/>
      <c r="AG64" s="47"/>
      <c r="AH64" s="47"/>
      <c r="AI64" s="47">
        <v>2</v>
      </c>
      <c r="AJ64" s="47">
        <v>2</v>
      </c>
      <c r="AK64" s="47">
        <v>2</v>
      </c>
      <c r="AL64" s="47"/>
      <c r="AM64" s="28">
        <f t="shared" si="0"/>
        <v>45</v>
      </c>
      <c r="AN64" s="28"/>
    </row>
    <row r="65" spans="1:40">
      <c r="A65" s="28">
        <v>63</v>
      </c>
      <c r="B65" s="29">
        <v>501250</v>
      </c>
      <c r="C65" s="28" t="s">
        <v>232</v>
      </c>
      <c r="D65" s="28"/>
      <c r="E65" s="28">
        <v>20241010</v>
      </c>
      <c r="F65" s="28"/>
      <c r="G65" s="29" t="s">
        <v>51</v>
      </c>
      <c r="H65" s="30" t="s">
        <v>74</v>
      </c>
      <c r="I65" s="28" t="s">
        <v>75</v>
      </c>
      <c r="J65" s="28" t="s">
        <v>58</v>
      </c>
      <c r="K65" s="47"/>
      <c r="L65" s="47"/>
      <c r="M65" s="47">
        <v>1</v>
      </c>
      <c r="N65" s="47">
        <v>2</v>
      </c>
      <c r="O65" s="47"/>
      <c r="P65" s="47"/>
      <c r="Q65" s="47"/>
      <c r="R65" s="47"/>
      <c r="S65" s="47"/>
      <c r="T65" s="47"/>
      <c r="U65" s="47">
        <v>2</v>
      </c>
      <c r="V65" s="47">
        <v>7</v>
      </c>
      <c r="W65" s="47">
        <v>7</v>
      </c>
      <c r="X65" s="47"/>
      <c r="Y65" s="47"/>
      <c r="Z65" s="47"/>
      <c r="AA65" s="47">
        <v>7</v>
      </c>
      <c r="AB65" s="47">
        <v>2</v>
      </c>
      <c r="AC65" s="47">
        <v>2</v>
      </c>
      <c r="AD65" s="47">
        <v>2</v>
      </c>
      <c r="AE65" s="47">
        <v>2</v>
      </c>
      <c r="AF65" s="47"/>
      <c r="AG65" s="47"/>
      <c r="AH65" s="47"/>
      <c r="AI65" s="47">
        <v>2</v>
      </c>
      <c r="AJ65" s="47">
        <v>2</v>
      </c>
      <c r="AK65" s="47">
        <v>2</v>
      </c>
      <c r="AL65" s="47"/>
      <c r="AM65" s="28">
        <f t="shared" si="0"/>
        <v>40</v>
      </c>
      <c r="AN65" s="28"/>
    </row>
    <row r="66" spans="1:40">
      <c r="A66" s="28">
        <v>64</v>
      </c>
      <c r="B66" s="29">
        <v>501256</v>
      </c>
      <c r="C66" s="28" t="s">
        <v>236</v>
      </c>
      <c r="D66" s="28"/>
      <c r="E66" s="28">
        <v>20241104</v>
      </c>
      <c r="F66" s="28"/>
      <c r="G66" s="29" t="s">
        <v>51</v>
      </c>
      <c r="H66" s="30" t="s">
        <v>74</v>
      </c>
      <c r="I66" s="28" t="s">
        <v>75</v>
      </c>
      <c r="J66" s="28" t="s">
        <v>58</v>
      </c>
      <c r="K66" s="47"/>
      <c r="L66" s="47">
        <v>2</v>
      </c>
      <c r="M66" s="47">
        <v>2</v>
      </c>
      <c r="N66" s="47">
        <v>2</v>
      </c>
      <c r="O66" s="47"/>
      <c r="P66" s="47">
        <v>0.5</v>
      </c>
      <c r="Q66" s="47">
        <v>4.5</v>
      </c>
      <c r="R66" s="47"/>
      <c r="S66" s="47">
        <v>2</v>
      </c>
      <c r="T66" s="47"/>
      <c r="U66" s="47"/>
      <c r="V66" s="47"/>
      <c r="W66" s="47"/>
      <c r="X66" s="47"/>
      <c r="Y66" s="47"/>
      <c r="Z66" s="47"/>
      <c r="AA66" s="47"/>
      <c r="AB66" s="47"/>
      <c r="AC66" s="47">
        <v>2</v>
      </c>
      <c r="AD66" s="47">
        <v>2</v>
      </c>
      <c r="AE66" s="47">
        <v>5</v>
      </c>
      <c r="AF66" s="47"/>
      <c r="AG66" s="47">
        <v>2</v>
      </c>
      <c r="AH66" s="47"/>
      <c r="AI66" s="47"/>
      <c r="AJ66" s="47"/>
      <c r="AK66" s="47"/>
      <c r="AL66" s="47">
        <v>5</v>
      </c>
      <c r="AM66" s="28">
        <f t="shared" si="0"/>
        <v>29</v>
      </c>
      <c r="AN66" s="28"/>
    </row>
    <row r="67" spans="1:40">
      <c r="A67" s="28">
        <v>65</v>
      </c>
      <c r="B67" s="29">
        <v>501265</v>
      </c>
      <c r="C67" s="28" t="s">
        <v>242</v>
      </c>
      <c r="D67" s="28"/>
      <c r="E67" s="28">
        <v>20250303</v>
      </c>
      <c r="F67" s="28"/>
      <c r="G67" s="29" t="s">
        <v>51</v>
      </c>
      <c r="H67" s="30" t="s">
        <v>74</v>
      </c>
      <c r="I67" s="28" t="s">
        <v>75</v>
      </c>
      <c r="J67" s="28" t="s">
        <v>58</v>
      </c>
      <c r="K67" s="47"/>
      <c r="L67" s="47"/>
      <c r="M67" s="47">
        <v>2</v>
      </c>
      <c r="N67" s="47">
        <v>2</v>
      </c>
      <c r="O67" s="47"/>
      <c r="P67" s="47">
        <v>0.5</v>
      </c>
      <c r="Q67" s="47">
        <v>4.5</v>
      </c>
      <c r="R67" s="47"/>
      <c r="S67" s="47">
        <v>2</v>
      </c>
      <c r="T67" s="47"/>
      <c r="U67" s="47"/>
      <c r="V67" s="47"/>
      <c r="W67" s="47"/>
      <c r="X67" s="47">
        <v>5</v>
      </c>
      <c r="Y67" s="47"/>
      <c r="Z67" s="47"/>
      <c r="AA67" s="47"/>
      <c r="AB67" s="47"/>
      <c r="AC67" s="47">
        <v>1</v>
      </c>
      <c r="AD67" s="47"/>
      <c r="AE67" s="47">
        <v>5</v>
      </c>
      <c r="AF67" s="47"/>
      <c r="AG67" s="47"/>
      <c r="AH67" s="47"/>
      <c r="AI67" s="47"/>
      <c r="AJ67" s="47"/>
      <c r="AK67" s="47"/>
      <c r="AL67" s="47">
        <v>5</v>
      </c>
      <c r="AM67" s="28">
        <f t="shared" ref="AM67:AM130" si="1">SUM(K67:AL67)</f>
        <v>27</v>
      </c>
      <c r="AN67" s="28"/>
    </row>
    <row r="68" spans="1:40">
      <c r="A68" s="28">
        <v>66</v>
      </c>
      <c r="B68" s="29">
        <v>501275</v>
      </c>
      <c r="C68" s="28" t="s">
        <v>248</v>
      </c>
      <c r="D68" s="28"/>
      <c r="E68" s="28">
        <v>20250429</v>
      </c>
      <c r="F68" s="28"/>
      <c r="G68" s="29" t="s">
        <v>51</v>
      </c>
      <c r="H68" s="30" t="s">
        <v>74</v>
      </c>
      <c r="I68" s="28" t="s">
        <v>75</v>
      </c>
      <c r="J68" s="28" t="s">
        <v>58</v>
      </c>
      <c r="K68" s="47"/>
      <c r="L68" s="47">
        <v>2</v>
      </c>
      <c r="M68" s="47">
        <v>2</v>
      </c>
      <c r="N68" s="47">
        <v>2</v>
      </c>
      <c r="O68" s="47"/>
      <c r="P68" s="47">
        <v>2</v>
      </c>
      <c r="Q68" s="47">
        <v>2</v>
      </c>
      <c r="R68" s="47"/>
      <c r="S68" s="47">
        <v>2</v>
      </c>
      <c r="T68" s="47">
        <v>2</v>
      </c>
      <c r="U68" s="47">
        <v>2</v>
      </c>
      <c r="V68" s="47"/>
      <c r="W68" s="47">
        <v>7</v>
      </c>
      <c r="X68" s="47"/>
      <c r="Y68" s="47"/>
      <c r="Z68" s="47">
        <v>7</v>
      </c>
      <c r="AA68" s="47">
        <v>7</v>
      </c>
      <c r="AB68" s="47">
        <v>2</v>
      </c>
      <c r="AC68" s="47"/>
      <c r="AD68" s="47">
        <v>2</v>
      </c>
      <c r="AE68" s="47">
        <v>2</v>
      </c>
      <c r="AF68" s="47"/>
      <c r="AG68" s="47">
        <v>2</v>
      </c>
      <c r="AH68" s="47">
        <v>2</v>
      </c>
      <c r="AI68" s="47">
        <v>2</v>
      </c>
      <c r="AJ68" s="47"/>
      <c r="AK68" s="47">
        <v>2</v>
      </c>
      <c r="AL68" s="47"/>
      <c r="AM68" s="28">
        <f t="shared" si="1"/>
        <v>51</v>
      </c>
      <c r="AN68" s="28"/>
    </row>
    <row r="69" spans="1:40">
      <c r="A69" s="28">
        <v>67</v>
      </c>
      <c r="B69" s="29">
        <v>501280</v>
      </c>
      <c r="C69" s="28" t="s">
        <v>252</v>
      </c>
      <c r="D69" s="28"/>
      <c r="E69" s="28">
        <v>20250506</v>
      </c>
      <c r="F69" s="28"/>
      <c r="G69" s="29" t="s">
        <v>51</v>
      </c>
      <c r="H69" s="30" t="s">
        <v>74</v>
      </c>
      <c r="I69" s="28" t="s">
        <v>75</v>
      </c>
      <c r="J69" s="28" t="s">
        <v>58</v>
      </c>
      <c r="K69" s="47"/>
      <c r="L69" s="47">
        <v>2</v>
      </c>
      <c r="M69" s="47">
        <v>2</v>
      </c>
      <c r="N69" s="47">
        <v>2</v>
      </c>
      <c r="O69" s="47"/>
      <c r="P69" s="47">
        <v>2</v>
      </c>
      <c r="Q69" s="47"/>
      <c r="R69" s="47"/>
      <c r="S69" s="47">
        <v>2</v>
      </c>
      <c r="T69" s="47">
        <v>2</v>
      </c>
      <c r="U69" s="47">
        <v>2</v>
      </c>
      <c r="V69" s="47">
        <v>7</v>
      </c>
      <c r="W69" s="47">
        <v>7</v>
      </c>
      <c r="X69" s="47"/>
      <c r="Y69" s="47"/>
      <c r="Z69" s="47">
        <v>7</v>
      </c>
      <c r="AA69" s="47">
        <v>7</v>
      </c>
      <c r="AB69" s="47">
        <v>2</v>
      </c>
      <c r="AC69" s="47">
        <v>2</v>
      </c>
      <c r="AD69" s="47">
        <v>2</v>
      </c>
      <c r="AE69" s="47"/>
      <c r="AF69" s="47"/>
      <c r="AG69" s="47">
        <v>2</v>
      </c>
      <c r="AH69" s="47">
        <v>2</v>
      </c>
      <c r="AI69" s="47">
        <v>2</v>
      </c>
      <c r="AJ69" s="47">
        <v>2</v>
      </c>
      <c r="AK69" s="47">
        <v>2</v>
      </c>
      <c r="AL69" s="47"/>
      <c r="AM69" s="28">
        <f t="shared" si="1"/>
        <v>58</v>
      </c>
      <c r="AN69" s="28"/>
    </row>
    <row r="70" spans="1:40">
      <c r="A70" s="28">
        <v>68</v>
      </c>
      <c r="B70" s="29">
        <v>501284</v>
      </c>
      <c r="C70" s="28" t="s">
        <v>255</v>
      </c>
      <c r="D70" s="28"/>
      <c r="E70" s="28">
        <v>20250522</v>
      </c>
      <c r="F70" s="28"/>
      <c r="G70" s="29" t="s">
        <v>51</v>
      </c>
      <c r="H70" s="30" t="s">
        <v>74</v>
      </c>
      <c r="I70" s="28" t="s">
        <v>75</v>
      </c>
      <c r="J70" s="28" t="s">
        <v>54</v>
      </c>
      <c r="K70" s="47"/>
      <c r="L70" s="47"/>
      <c r="M70" s="47">
        <v>1.5</v>
      </c>
      <c r="N70" s="47">
        <v>1.5</v>
      </c>
      <c r="O70" s="47"/>
      <c r="P70" s="47">
        <v>1.5</v>
      </c>
      <c r="Q70" s="47">
        <v>5</v>
      </c>
      <c r="R70" s="47"/>
      <c r="S70" s="47">
        <v>1.5</v>
      </c>
      <c r="T70" s="47"/>
      <c r="U70" s="47">
        <v>1</v>
      </c>
      <c r="V70" s="47">
        <v>8</v>
      </c>
      <c r="W70" s="47">
        <v>8</v>
      </c>
      <c r="X70" s="47">
        <v>4</v>
      </c>
      <c r="Y70" s="47"/>
      <c r="Z70" s="47">
        <v>8</v>
      </c>
      <c r="AA70" s="47">
        <v>8</v>
      </c>
      <c r="AB70" s="47">
        <v>1</v>
      </c>
      <c r="AC70" s="47">
        <v>1</v>
      </c>
      <c r="AD70" s="47">
        <v>1</v>
      </c>
      <c r="AE70" s="47">
        <v>5</v>
      </c>
      <c r="AF70" s="47"/>
      <c r="AG70" s="47">
        <v>1</v>
      </c>
      <c r="AH70" s="47">
        <v>1</v>
      </c>
      <c r="AI70" s="47"/>
      <c r="AJ70" s="47"/>
      <c r="AK70" s="47"/>
      <c r="AL70" s="47"/>
      <c r="AM70" s="28">
        <f t="shared" si="1"/>
        <v>58</v>
      </c>
      <c r="AN70" s="28"/>
    </row>
    <row r="71" spans="1:40">
      <c r="A71" s="28">
        <v>69</v>
      </c>
      <c r="B71" s="29">
        <v>501296</v>
      </c>
      <c r="C71" s="28" t="s">
        <v>259</v>
      </c>
      <c r="D71" s="28"/>
      <c r="E71" s="28">
        <v>20250901</v>
      </c>
      <c r="F71" s="28"/>
      <c r="G71" s="29" t="s">
        <v>51</v>
      </c>
      <c r="H71" s="30" t="s">
        <v>74</v>
      </c>
      <c r="I71" s="28" t="s">
        <v>75</v>
      </c>
      <c r="J71" s="28" t="s">
        <v>58</v>
      </c>
      <c r="K71" s="47"/>
      <c r="L71" s="47">
        <v>2</v>
      </c>
      <c r="M71" s="47">
        <v>2</v>
      </c>
      <c r="N71" s="47">
        <v>2</v>
      </c>
      <c r="O71" s="47"/>
      <c r="P71" s="47">
        <v>1</v>
      </c>
      <c r="Q71" s="47"/>
      <c r="R71" s="47"/>
      <c r="S71" s="47">
        <v>1</v>
      </c>
      <c r="T71" s="47">
        <v>2</v>
      </c>
      <c r="U71" s="47"/>
      <c r="V71" s="47"/>
      <c r="W71" s="47"/>
      <c r="X71" s="47">
        <v>2</v>
      </c>
      <c r="Y71" s="47"/>
      <c r="Z71" s="47"/>
      <c r="AA71" s="47">
        <v>7</v>
      </c>
      <c r="AB71" s="47">
        <v>1</v>
      </c>
      <c r="AC71" s="47">
        <v>2</v>
      </c>
      <c r="AD71" s="47">
        <v>1</v>
      </c>
      <c r="AE71" s="47">
        <v>2</v>
      </c>
      <c r="AF71" s="47"/>
      <c r="AG71" s="47">
        <v>1</v>
      </c>
      <c r="AH71" s="47">
        <v>1</v>
      </c>
      <c r="AI71" s="47">
        <v>1</v>
      </c>
      <c r="AJ71" s="47">
        <v>1</v>
      </c>
      <c r="AK71" s="47">
        <v>1</v>
      </c>
      <c r="AL71" s="47"/>
      <c r="AM71" s="28">
        <f t="shared" si="1"/>
        <v>30</v>
      </c>
      <c r="AN71" s="28"/>
    </row>
    <row r="72" spans="1:40">
      <c r="A72" s="28">
        <v>70</v>
      </c>
      <c r="B72" s="29">
        <v>501299</v>
      </c>
      <c r="C72" s="28" t="s">
        <v>262</v>
      </c>
      <c r="D72" s="28"/>
      <c r="E72" s="28">
        <v>20250916</v>
      </c>
      <c r="F72" s="28"/>
      <c r="G72" s="29" t="s">
        <v>51</v>
      </c>
      <c r="H72" s="30" t="s">
        <v>74</v>
      </c>
      <c r="I72" s="28" t="s">
        <v>75</v>
      </c>
      <c r="J72" s="28" t="s">
        <v>58</v>
      </c>
      <c r="K72" s="47"/>
      <c r="L72" s="47"/>
      <c r="M72" s="47"/>
      <c r="N72" s="47">
        <v>1.5</v>
      </c>
      <c r="O72" s="47"/>
      <c r="P72" s="47">
        <v>1.5</v>
      </c>
      <c r="Q72" s="47">
        <v>5</v>
      </c>
      <c r="R72" s="47"/>
      <c r="S72" s="47">
        <v>1.5</v>
      </c>
      <c r="T72" s="47">
        <v>1.5</v>
      </c>
      <c r="U72" s="47">
        <v>1.5</v>
      </c>
      <c r="V72" s="47"/>
      <c r="W72" s="47">
        <v>8</v>
      </c>
      <c r="X72" s="47">
        <v>5</v>
      </c>
      <c r="Y72" s="47"/>
      <c r="Z72" s="47">
        <v>8</v>
      </c>
      <c r="AA72" s="47">
        <v>8</v>
      </c>
      <c r="AB72" s="47">
        <v>1</v>
      </c>
      <c r="AC72" s="47">
        <v>1</v>
      </c>
      <c r="AD72" s="47">
        <v>1</v>
      </c>
      <c r="AE72" s="47">
        <v>2.5</v>
      </c>
      <c r="AF72" s="47"/>
      <c r="AG72" s="47">
        <v>1</v>
      </c>
      <c r="AH72" s="47">
        <v>1</v>
      </c>
      <c r="AI72" s="47">
        <v>1</v>
      </c>
      <c r="AJ72" s="47">
        <v>1</v>
      </c>
      <c r="AK72" s="47">
        <v>1</v>
      </c>
      <c r="AL72" s="47"/>
      <c r="AM72" s="28">
        <f t="shared" si="1"/>
        <v>52</v>
      </c>
      <c r="AN72" s="28"/>
    </row>
    <row r="73" spans="1:40">
      <c r="A73" s="28">
        <v>71</v>
      </c>
      <c r="B73" s="29">
        <v>501311</v>
      </c>
      <c r="C73" s="28" t="s">
        <v>273</v>
      </c>
      <c r="D73" s="28"/>
      <c r="E73" s="28">
        <v>20251117</v>
      </c>
      <c r="F73" s="28"/>
      <c r="G73" s="29" t="s">
        <v>51</v>
      </c>
      <c r="H73" s="30" t="s">
        <v>74</v>
      </c>
      <c r="I73" s="28" t="s">
        <v>75</v>
      </c>
      <c r="J73" s="28" t="s">
        <v>54</v>
      </c>
      <c r="K73" s="47"/>
      <c r="L73" s="47">
        <v>1</v>
      </c>
      <c r="M73" s="47">
        <v>1</v>
      </c>
      <c r="N73" s="47">
        <v>1</v>
      </c>
      <c r="O73" s="47"/>
      <c r="P73" s="47">
        <v>1</v>
      </c>
      <c r="Q73" s="47"/>
      <c r="R73" s="47"/>
      <c r="S73" s="47">
        <v>1</v>
      </c>
      <c r="T73" s="47">
        <v>1</v>
      </c>
      <c r="U73" s="47"/>
      <c r="V73" s="47">
        <v>7</v>
      </c>
      <c r="W73" s="47">
        <v>7</v>
      </c>
      <c r="X73" s="47"/>
      <c r="Y73" s="47"/>
      <c r="Z73" s="47">
        <v>7</v>
      </c>
      <c r="AA73" s="47">
        <v>7</v>
      </c>
      <c r="AB73" s="47">
        <v>1</v>
      </c>
      <c r="AC73" s="47">
        <v>1</v>
      </c>
      <c r="AD73" s="47">
        <v>1</v>
      </c>
      <c r="AE73" s="47"/>
      <c r="AF73" s="47"/>
      <c r="AG73" s="47">
        <v>1</v>
      </c>
      <c r="AH73" s="47">
        <v>1</v>
      </c>
      <c r="AI73" s="47">
        <v>1</v>
      </c>
      <c r="AJ73" s="47">
        <v>1</v>
      </c>
      <c r="AK73" s="47">
        <v>1</v>
      </c>
      <c r="AL73" s="47"/>
      <c r="AM73" s="28">
        <f t="shared" si="1"/>
        <v>42</v>
      </c>
      <c r="AN73" s="28"/>
    </row>
    <row r="74" spans="1:40">
      <c r="A74" s="28">
        <v>72</v>
      </c>
      <c r="B74" s="29">
        <v>501316</v>
      </c>
      <c r="C74" s="28" t="s">
        <v>87</v>
      </c>
      <c r="D74" s="28"/>
      <c r="E74" s="28">
        <v>20260226</v>
      </c>
      <c r="F74" s="28"/>
      <c r="G74" s="29" t="s">
        <v>51</v>
      </c>
      <c r="H74" s="30" t="s">
        <v>74</v>
      </c>
      <c r="I74" s="28" t="s">
        <v>75</v>
      </c>
      <c r="J74" s="28" t="s">
        <v>58</v>
      </c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>
        <f t="shared" si="1"/>
        <v>0</v>
      </c>
      <c r="AN74" s="28"/>
    </row>
    <row r="75" spans="1:40">
      <c r="A75" s="28">
        <v>73</v>
      </c>
      <c r="B75" s="29">
        <v>501317</v>
      </c>
      <c r="C75" s="28" t="s">
        <v>431</v>
      </c>
      <c r="D75" s="28"/>
      <c r="E75" s="28">
        <v>20260226</v>
      </c>
      <c r="F75" s="28"/>
      <c r="G75" s="29" t="s">
        <v>51</v>
      </c>
      <c r="H75" s="30" t="s">
        <v>74</v>
      </c>
      <c r="I75" s="28" t="s">
        <v>75</v>
      </c>
      <c r="J75" s="28" t="s">
        <v>58</v>
      </c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>
        <f t="shared" si="1"/>
        <v>0</v>
      </c>
      <c r="AN75" s="28"/>
    </row>
    <row r="76" spans="1:40">
      <c r="A76" s="28">
        <v>74</v>
      </c>
      <c r="B76" s="29">
        <v>500005</v>
      </c>
      <c r="C76" s="28" t="s">
        <v>60</v>
      </c>
      <c r="D76" s="28"/>
      <c r="E76" s="28">
        <v>20140707</v>
      </c>
      <c r="F76" s="28"/>
      <c r="G76" s="29" t="s">
        <v>51</v>
      </c>
      <c r="H76" s="30" t="s">
        <v>61</v>
      </c>
      <c r="I76" s="28" t="s">
        <v>62</v>
      </c>
      <c r="J76" s="28" t="s">
        <v>54</v>
      </c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>
        <v>8</v>
      </c>
      <c r="W76" s="47">
        <v>8</v>
      </c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28">
        <f t="shared" si="1"/>
        <v>16</v>
      </c>
      <c r="AN76" s="28"/>
    </row>
    <row r="77" spans="1:40">
      <c r="A77" s="28">
        <v>75</v>
      </c>
      <c r="B77" s="29">
        <v>500009</v>
      </c>
      <c r="C77" s="28" t="s">
        <v>63</v>
      </c>
      <c r="D77" s="28"/>
      <c r="E77" s="28">
        <v>20140822</v>
      </c>
      <c r="F77" s="28"/>
      <c r="G77" s="29" t="s">
        <v>51</v>
      </c>
      <c r="H77" s="30" t="s">
        <v>61</v>
      </c>
      <c r="I77" s="28" t="s">
        <v>62</v>
      </c>
      <c r="J77" s="28" t="s">
        <v>54</v>
      </c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>
        <v>4</v>
      </c>
      <c r="AF77" s="47"/>
      <c r="AG77" s="47"/>
      <c r="AH77" s="47"/>
      <c r="AI77" s="47"/>
      <c r="AJ77" s="47"/>
      <c r="AK77" s="47"/>
      <c r="AL77" s="47"/>
      <c r="AM77" s="28">
        <f t="shared" si="1"/>
        <v>4</v>
      </c>
      <c r="AN77" s="28"/>
    </row>
    <row r="78" spans="1:40">
      <c r="A78" s="28">
        <v>76</v>
      </c>
      <c r="B78" s="29">
        <v>500051</v>
      </c>
      <c r="C78" s="28" t="s">
        <v>76</v>
      </c>
      <c r="D78" s="28"/>
      <c r="E78" s="28">
        <v>20150504</v>
      </c>
      <c r="F78" s="28"/>
      <c r="G78" s="29" t="s">
        <v>51</v>
      </c>
      <c r="H78" s="30" t="s">
        <v>61</v>
      </c>
      <c r="I78" s="28" t="s">
        <v>62</v>
      </c>
      <c r="J78" s="28" t="s">
        <v>58</v>
      </c>
      <c r="K78" s="47"/>
      <c r="L78" s="47"/>
      <c r="M78" s="47">
        <v>1</v>
      </c>
      <c r="N78" s="47"/>
      <c r="O78" s="47"/>
      <c r="P78" s="47"/>
      <c r="Q78" s="47">
        <v>4</v>
      </c>
      <c r="R78" s="47"/>
      <c r="S78" s="47"/>
      <c r="T78" s="47"/>
      <c r="U78" s="47">
        <v>2</v>
      </c>
      <c r="V78" s="47">
        <v>8</v>
      </c>
      <c r="W78" s="47">
        <v>8</v>
      </c>
      <c r="X78" s="47">
        <v>4</v>
      </c>
      <c r="Y78" s="47"/>
      <c r="Z78" s="47">
        <v>8</v>
      </c>
      <c r="AA78" s="47">
        <v>8</v>
      </c>
      <c r="AB78" s="47"/>
      <c r="AC78" s="47">
        <v>2</v>
      </c>
      <c r="AD78" s="47">
        <v>1</v>
      </c>
      <c r="AE78" s="47">
        <v>4</v>
      </c>
      <c r="AF78" s="47"/>
      <c r="AG78" s="47"/>
      <c r="AH78" s="47">
        <v>2</v>
      </c>
      <c r="AI78" s="47"/>
      <c r="AJ78" s="47"/>
      <c r="AK78" s="47"/>
      <c r="AL78" s="47">
        <v>4</v>
      </c>
      <c r="AM78" s="28">
        <f t="shared" si="1"/>
        <v>56</v>
      </c>
      <c r="AN78" s="28"/>
    </row>
    <row r="79" spans="1:40">
      <c r="A79" s="28">
        <v>77</v>
      </c>
      <c r="B79" s="29">
        <v>500052</v>
      </c>
      <c r="C79" s="28" t="s">
        <v>77</v>
      </c>
      <c r="D79" s="28"/>
      <c r="E79" s="28">
        <v>20150507</v>
      </c>
      <c r="F79" s="28"/>
      <c r="G79" s="29" t="s">
        <v>51</v>
      </c>
      <c r="H79" s="30" t="s">
        <v>61</v>
      </c>
      <c r="I79" s="28" t="s">
        <v>62</v>
      </c>
      <c r="J79" s="28" t="s">
        <v>54</v>
      </c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>
        <v>8</v>
      </c>
      <c r="AA79" s="47">
        <v>8</v>
      </c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>
        <v>4</v>
      </c>
      <c r="AM79" s="28">
        <f t="shared" si="1"/>
        <v>20</v>
      </c>
      <c r="AN79" s="28"/>
    </row>
    <row r="80" spans="1:40">
      <c r="A80" s="28">
        <v>78</v>
      </c>
      <c r="B80" s="29">
        <v>500104</v>
      </c>
      <c r="C80" s="28" t="s">
        <v>83</v>
      </c>
      <c r="D80" s="28"/>
      <c r="E80" s="28">
        <v>20150713</v>
      </c>
      <c r="F80" s="28"/>
      <c r="G80" s="29" t="s">
        <v>51</v>
      </c>
      <c r="H80" s="30" t="s">
        <v>61</v>
      </c>
      <c r="I80" s="28" t="s">
        <v>62</v>
      </c>
      <c r="J80" s="28" t="s">
        <v>54</v>
      </c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>
        <v>8</v>
      </c>
      <c r="AA80" s="47">
        <v>8</v>
      </c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>
        <v>4</v>
      </c>
      <c r="AM80" s="28">
        <f t="shared" si="1"/>
        <v>20</v>
      </c>
      <c r="AN80" s="28"/>
    </row>
    <row r="81" spans="1:40">
      <c r="A81" s="28">
        <v>79</v>
      </c>
      <c r="B81" s="29">
        <v>500122</v>
      </c>
      <c r="C81" s="28" t="s">
        <v>86</v>
      </c>
      <c r="D81" s="28"/>
      <c r="E81" s="28">
        <v>20150727</v>
      </c>
      <c r="F81" s="28"/>
      <c r="G81" s="29" t="s">
        <v>51</v>
      </c>
      <c r="H81" s="30" t="s">
        <v>61</v>
      </c>
      <c r="I81" s="28" t="s">
        <v>62</v>
      </c>
      <c r="J81" s="28" t="s">
        <v>54</v>
      </c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>
        <v>8</v>
      </c>
      <c r="W81" s="47">
        <v>8</v>
      </c>
      <c r="X81" s="47"/>
      <c r="Y81" s="47"/>
      <c r="Z81" s="47">
        <v>8</v>
      </c>
      <c r="AA81" s="47"/>
      <c r="AB81" s="47"/>
      <c r="AC81" s="47"/>
      <c r="AD81" s="47"/>
      <c r="AE81" s="47">
        <v>4</v>
      </c>
      <c r="AF81" s="47"/>
      <c r="AG81" s="47"/>
      <c r="AH81" s="47"/>
      <c r="AI81" s="47"/>
      <c r="AJ81" s="47"/>
      <c r="AK81" s="47"/>
      <c r="AL81" s="47"/>
      <c r="AM81" s="28">
        <f t="shared" si="1"/>
        <v>28</v>
      </c>
      <c r="AN81" s="28"/>
    </row>
    <row r="82" spans="1:40">
      <c r="A82" s="28">
        <v>80</v>
      </c>
      <c r="B82" s="29">
        <v>500191</v>
      </c>
      <c r="C82" s="28" t="s">
        <v>92</v>
      </c>
      <c r="D82" s="28"/>
      <c r="E82" s="28">
        <v>20151105</v>
      </c>
      <c r="F82" s="28"/>
      <c r="G82" s="29" t="s">
        <v>51</v>
      </c>
      <c r="H82" s="30" t="s">
        <v>61</v>
      </c>
      <c r="I82" s="28" t="s">
        <v>62</v>
      </c>
      <c r="J82" s="28" t="s">
        <v>54</v>
      </c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>
        <v>7</v>
      </c>
      <c r="X82" s="47"/>
      <c r="Y82" s="47"/>
      <c r="Z82" s="47">
        <v>7</v>
      </c>
      <c r="AA82" s="47">
        <v>7</v>
      </c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28">
        <f t="shared" si="1"/>
        <v>21</v>
      </c>
      <c r="AN82" s="28"/>
    </row>
    <row r="83" spans="1:40">
      <c r="A83" s="28">
        <v>81</v>
      </c>
      <c r="B83" s="29">
        <v>500216</v>
      </c>
      <c r="C83" s="28" t="s">
        <v>99</v>
      </c>
      <c r="D83" s="28"/>
      <c r="E83" s="28">
        <v>20151203</v>
      </c>
      <c r="F83" s="28"/>
      <c r="G83" s="29" t="s">
        <v>51</v>
      </c>
      <c r="H83" s="30" t="s">
        <v>61</v>
      </c>
      <c r="I83" s="28" t="s">
        <v>62</v>
      </c>
      <c r="J83" s="28" t="s">
        <v>54</v>
      </c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>
        <v>7</v>
      </c>
      <c r="W83" s="47">
        <v>7</v>
      </c>
      <c r="X83" s="47"/>
      <c r="Y83" s="47"/>
      <c r="Z83" s="47">
        <v>7</v>
      </c>
      <c r="AA83" s="47">
        <v>7</v>
      </c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28">
        <f t="shared" si="1"/>
        <v>28</v>
      </c>
      <c r="AN83" s="28"/>
    </row>
    <row r="84" spans="1:40">
      <c r="A84" s="28">
        <v>82</v>
      </c>
      <c r="B84" s="29">
        <v>500228</v>
      </c>
      <c r="C84" s="28" t="s">
        <v>101</v>
      </c>
      <c r="D84" s="28"/>
      <c r="E84" s="28">
        <v>20151215</v>
      </c>
      <c r="F84" s="28"/>
      <c r="G84" s="29" t="s">
        <v>51</v>
      </c>
      <c r="H84" s="30" t="s">
        <v>61</v>
      </c>
      <c r="I84" s="28" t="s">
        <v>62</v>
      </c>
      <c r="J84" s="28" t="s">
        <v>54</v>
      </c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>
        <v>4</v>
      </c>
      <c r="Y84" s="47"/>
      <c r="Z84" s="47">
        <v>8</v>
      </c>
      <c r="AA84" s="47"/>
      <c r="AB84" s="47"/>
      <c r="AC84" s="47"/>
      <c r="AD84" s="47"/>
      <c r="AE84" s="47">
        <v>4</v>
      </c>
      <c r="AF84" s="47"/>
      <c r="AG84" s="47"/>
      <c r="AH84" s="47"/>
      <c r="AI84" s="47"/>
      <c r="AJ84" s="47"/>
      <c r="AK84" s="47"/>
      <c r="AL84" s="47">
        <v>4</v>
      </c>
      <c r="AM84" s="28">
        <f t="shared" si="1"/>
        <v>20</v>
      </c>
      <c r="AN84" s="28"/>
    </row>
    <row r="85" spans="1:40">
      <c r="A85" s="28">
        <v>83</v>
      </c>
      <c r="B85" s="29">
        <v>500343</v>
      </c>
      <c r="C85" s="28" t="s">
        <v>119</v>
      </c>
      <c r="D85" s="28"/>
      <c r="E85" s="28">
        <v>20160705</v>
      </c>
      <c r="F85" s="28"/>
      <c r="G85" s="29" t="s">
        <v>51</v>
      </c>
      <c r="H85" s="30" t="s">
        <v>61</v>
      </c>
      <c r="I85" s="28" t="s">
        <v>62</v>
      </c>
      <c r="J85" s="28" t="s">
        <v>54</v>
      </c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>
        <v>4</v>
      </c>
      <c r="Y85" s="47"/>
      <c r="Z85" s="47">
        <v>8</v>
      </c>
      <c r="AA85" s="47"/>
      <c r="AB85" s="47"/>
      <c r="AC85" s="47"/>
      <c r="AD85" s="47"/>
      <c r="AE85" s="47">
        <v>4</v>
      </c>
      <c r="AF85" s="47"/>
      <c r="AG85" s="47"/>
      <c r="AH85" s="47"/>
      <c r="AI85" s="47"/>
      <c r="AJ85" s="47"/>
      <c r="AK85" s="47"/>
      <c r="AL85" s="47">
        <v>4</v>
      </c>
      <c r="AM85" s="28">
        <f t="shared" si="1"/>
        <v>20</v>
      </c>
      <c r="AN85" s="28"/>
    </row>
    <row r="86" spans="1:40">
      <c r="A86" s="28">
        <v>84</v>
      </c>
      <c r="B86" s="29">
        <v>500377</v>
      </c>
      <c r="C86" s="28" t="s">
        <v>126</v>
      </c>
      <c r="D86" s="28"/>
      <c r="E86" s="28">
        <v>20160920</v>
      </c>
      <c r="F86" s="28"/>
      <c r="G86" s="29" t="s">
        <v>51</v>
      </c>
      <c r="H86" s="30" t="s">
        <v>61</v>
      </c>
      <c r="I86" s="28" t="s">
        <v>62</v>
      </c>
      <c r="J86" s="28" t="s">
        <v>54</v>
      </c>
      <c r="K86" s="47"/>
      <c r="L86" s="47"/>
      <c r="M86" s="47"/>
      <c r="N86" s="47"/>
      <c r="O86" s="47"/>
      <c r="P86" s="47"/>
      <c r="Q86" s="47">
        <v>4</v>
      </c>
      <c r="R86" s="47"/>
      <c r="S86" s="47"/>
      <c r="T86" s="47"/>
      <c r="U86" s="47"/>
      <c r="V86" s="47"/>
      <c r="W86" s="47">
        <v>8</v>
      </c>
      <c r="X86" s="47"/>
      <c r="Y86" s="47"/>
      <c r="Z86" s="47">
        <v>8</v>
      </c>
      <c r="AA86" s="47">
        <v>8</v>
      </c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28">
        <f t="shared" si="1"/>
        <v>28</v>
      </c>
      <c r="AN86" s="28"/>
    </row>
    <row r="87" spans="1:40">
      <c r="A87" s="28">
        <v>85</v>
      </c>
      <c r="B87" s="29">
        <v>500404</v>
      </c>
      <c r="C87" s="28" t="s">
        <v>134</v>
      </c>
      <c r="D87" s="28"/>
      <c r="E87" s="28">
        <v>20161019</v>
      </c>
      <c r="F87" s="28"/>
      <c r="G87" s="29" t="s">
        <v>51</v>
      </c>
      <c r="H87" s="30" t="s">
        <v>61</v>
      </c>
      <c r="I87" s="28" t="s">
        <v>62</v>
      </c>
      <c r="J87" s="28" t="s">
        <v>54</v>
      </c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>
        <v>4</v>
      </c>
      <c r="Y87" s="47"/>
      <c r="Z87" s="47">
        <v>8</v>
      </c>
      <c r="AA87" s="47"/>
      <c r="AB87" s="47"/>
      <c r="AC87" s="47"/>
      <c r="AD87" s="47"/>
      <c r="AE87" s="47">
        <v>4</v>
      </c>
      <c r="AF87" s="47"/>
      <c r="AG87" s="47"/>
      <c r="AH87" s="47"/>
      <c r="AI87" s="47"/>
      <c r="AJ87" s="47"/>
      <c r="AK87" s="47"/>
      <c r="AL87" s="47">
        <v>4</v>
      </c>
      <c r="AM87" s="28">
        <f t="shared" si="1"/>
        <v>20</v>
      </c>
      <c r="AN87" s="28"/>
    </row>
    <row r="88" spans="1:40">
      <c r="A88" s="28">
        <v>86</v>
      </c>
      <c r="B88" s="29">
        <v>500432</v>
      </c>
      <c r="C88" s="28" t="s">
        <v>137</v>
      </c>
      <c r="D88" s="28"/>
      <c r="E88" s="28">
        <v>20161208</v>
      </c>
      <c r="F88" s="28"/>
      <c r="G88" s="29" t="s">
        <v>51</v>
      </c>
      <c r="H88" s="30" t="s">
        <v>61</v>
      </c>
      <c r="I88" s="28" t="s">
        <v>62</v>
      </c>
      <c r="J88" s="28" t="s">
        <v>54</v>
      </c>
      <c r="K88" s="47"/>
      <c r="L88" s="47"/>
      <c r="M88" s="47"/>
      <c r="N88" s="47"/>
      <c r="O88" s="47"/>
      <c r="P88" s="47"/>
      <c r="Q88" s="47">
        <v>4</v>
      </c>
      <c r="R88" s="47"/>
      <c r="S88" s="47"/>
      <c r="T88" s="47"/>
      <c r="U88" s="47"/>
      <c r="V88" s="47">
        <v>8</v>
      </c>
      <c r="W88" s="47"/>
      <c r="X88" s="47">
        <v>4</v>
      </c>
      <c r="Y88" s="47"/>
      <c r="Z88" s="47"/>
      <c r="AA88" s="47">
        <v>8</v>
      </c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>
        <v>4</v>
      </c>
      <c r="AM88" s="28">
        <f t="shared" si="1"/>
        <v>28</v>
      </c>
      <c r="AN88" s="28"/>
    </row>
    <row r="89" spans="1:40">
      <c r="A89" s="28">
        <v>87</v>
      </c>
      <c r="B89" s="29">
        <v>500444</v>
      </c>
      <c r="C89" s="28" t="s">
        <v>140</v>
      </c>
      <c r="D89" s="28"/>
      <c r="E89" s="28">
        <v>20170105</v>
      </c>
      <c r="F89" s="28"/>
      <c r="G89" s="29" t="s">
        <v>51</v>
      </c>
      <c r="H89" s="30" t="s">
        <v>61</v>
      </c>
      <c r="I89" s="28" t="s">
        <v>62</v>
      </c>
      <c r="J89" s="28" t="s">
        <v>54</v>
      </c>
      <c r="K89" s="47"/>
      <c r="L89" s="47"/>
      <c r="M89" s="47"/>
      <c r="N89" s="47"/>
      <c r="O89" s="47"/>
      <c r="P89" s="47"/>
      <c r="Q89" s="47">
        <v>4</v>
      </c>
      <c r="R89" s="47"/>
      <c r="S89" s="47"/>
      <c r="T89" s="47"/>
      <c r="U89" s="47"/>
      <c r="V89" s="47">
        <v>8</v>
      </c>
      <c r="W89" s="47">
        <v>8</v>
      </c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28">
        <f t="shared" si="1"/>
        <v>20</v>
      </c>
      <c r="AN89" s="28"/>
    </row>
    <row r="90" spans="1:40">
      <c r="A90" s="28">
        <v>88</v>
      </c>
      <c r="B90" s="29">
        <v>500451</v>
      </c>
      <c r="C90" s="28" t="s">
        <v>141</v>
      </c>
      <c r="D90" s="28"/>
      <c r="E90" s="28">
        <v>20170110</v>
      </c>
      <c r="F90" s="28"/>
      <c r="G90" s="29" t="s">
        <v>51</v>
      </c>
      <c r="H90" s="30" t="s">
        <v>61</v>
      </c>
      <c r="I90" s="28" t="s">
        <v>62</v>
      </c>
      <c r="J90" s="28" t="s">
        <v>54</v>
      </c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>
        <v>8</v>
      </c>
      <c r="AA90" s="47">
        <v>8</v>
      </c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>
        <v>4</v>
      </c>
      <c r="AM90" s="28">
        <f t="shared" si="1"/>
        <v>20</v>
      </c>
      <c r="AN90" s="28"/>
    </row>
    <row r="91" spans="1:40">
      <c r="A91" s="28">
        <v>89</v>
      </c>
      <c r="B91" s="29">
        <v>500514</v>
      </c>
      <c r="C91" s="28" t="s">
        <v>148</v>
      </c>
      <c r="D91" s="28"/>
      <c r="E91" s="28">
        <v>20170321</v>
      </c>
      <c r="F91" s="28"/>
      <c r="G91" s="29" t="s">
        <v>51</v>
      </c>
      <c r="H91" s="30" t="s">
        <v>61</v>
      </c>
      <c r="I91" s="28" t="s">
        <v>62</v>
      </c>
      <c r="J91" s="28" t="s">
        <v>54</v>
      </c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>
        <v>8</v>
      </c>
      <c r="W91" s="47">
        <v>8</v>
      </c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28">
        <f t="shared" si="1"/>
        <v>16</v>
      </c>
      <c r="AN91" s="28"/>
    </row>
    <row r="92" spans="1:40">
      <c r="A92" s="28">
        <v>90</v>
      </c>
      <c r="B92" s="29">
        <v>500580</v>
      </c>
      <c r="C92" s="28" t="s">
        <v>153</v>
      </c>
      <c r="D92" s="28"/>
      <c r="E92" s="28">
        <v>20170725</v>
      </c>
      <c r="F92" s="28"/>
      <c r="G92" s="29" t="s">
        <v>51</v>
      </c>
      <c r="H92" s="30" t="s">
        <v>61</v>
      </c>
      <c r="I92" s="28" t="s">
        <v>62</v>
      </c>
      <c r="J92" s="28" t="s">
        <v>58</v>
      </c>
      <c r="K92" s="47"/>
      <c r="L92" s="47">
        <v>2</v>
      </c>
      <c r="M92" s="47">
        <v>2</v>
      </c>
      <c r="N92" s="47"/>
      <c r="O92" s="47"/>
      <c r="P92" s="47">
        <v>2</v>
      </c>
      <c r="Q92" s="47"/>
      <c r="R92" s="47">
        <v>2</v>
      </c>
      <c r="S92" s="47">
        <v>1.5</v>
      </c>
      <c r="T92" s="47"/>
      <c r="U92" s="47"/>
      <c r="V92" s="47">
        <v>7</v>
      </c>
      <c r="W92" s="47">
        <v>7</v>
      </c>
      <c r="X92" s="47"/>
      <c r="Y92" s="47"/>
      <c r="Z92" s="47">
        <v>7</v>
      </c>
      <c r="AA92" s="47">
        <v>7</v>
      </c>
      <c r="AB92" s="47"/>
      <c r="AC92" s="47"/>
      <c r="AD92" s="47"/>
      <c r="AE92" s="47"/>
      <c r="AF92" s="47"/>
      <c r="AG92" s="47">
        <v>2</v>
      </c>
      <c r="AH92" s="47">
        <v>2</v>
      </c>
      <c r="AI92" s="47">
        <v>2</v>
      </c>
      <c r="AJ92" s="47">
        <v>2</v>
      </c>
      <c r="AK92" s="47">
        <v>2</v>
      </c>
      <c r="AL92" s="47"/>
      <c r="AM92" s="28">
        <f t="shared" si="1"/>
        <v>47.5</v>
      </c>
      <c r="AN92" s="28"/>
    </row>
    <row r="93" spans="1:40">
      <c r="A93" s="28">
        <v>91</v>
      </c>
      <c r="B93" s="29">
        <v>500717</v>
      </c>
      <c r="C93" s="28" t="s">
        <v>110</v>
      </c>
      <c r="D93" s="28"/>
      <c r="E93" s="28">
        <v>20180328</v>
      </c>
      <c r="F93" s="28"/>
      <c r="G93" s="29" t="s">
        <v>51</v>
      </c>
      <c r="H93" s="30" t="s">
        <v>61</v>
      </c>
      <c r="I93" s="28" t="s">
        <v>62</v>
      </c>
      <c r="J93" s="28" t="s">
        <v>54</v>
      </c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28">
        <f t="shared" si="1"/>
        <v>0</v>
      </c>
      <c r="AN93" s="28"/>
    </row>
    <row r="94" spans="1:40">
      <c r="A94" s="28">
        <v>92</v>
      </c>
      <c r="B94" s="29">
        <v>500831</v>
      </c>
      <c r="C94" s="28" t="s">
        <v>175</v>
      </c>
      <c r="D94" s="28"/>
      <c r="E94" s="28">
        <v>20190108</v>
      </c>
      <c r="F94" s="28"/>
      <c r="G94" s="29" t="s">
        <v>51</v>
      </c>
      <c r="H94" s="30" t="s">
        <v>61</v>
      </c>
      <c r="I94" s="28" t="s">
        <v>62</v>
      </c>
      <c r="J94" s="28" t="s">
        <v>58</v>
      </c>
      <c r="K94" s="47"/>
      <c r="L94" s="47"/>
      <c r="M94" s="47"/>
      <c r="N94" s="47"/>
      <c r="O94" s="47"/>
      <c r="P94" s="47"/>
      <c r="Q94" s="47">
        <v>4</v>
      </c>
      <c r="R94" s="47"/>
      <c r="S94" s="47"/>
      <c r="T94" s="47"/>
      <c r="U94" s="47"/>
      <c r="V94" s="47"/>
      <c r="W94" s="47"/>
      <c r="X94" s="47">
        <v>4</v>
      </c>
      <c r="Y94" s="47"/>
      <c r="Z94" s="47"/>
      <c r="AA94" s="47"/>
      <c r="AB94" s="47"/>
      <c r="AC94" s="47"/>
      <c r="AD94" s="47"/>
      <c r="AE94" s="47">
        <v>4</v>
      </c>
      <c r="AF94" s="47"/>
      <c r="AG94" s="47"/>
      <c r="AH94" s="47"/>
      <c r="AI94" s="47"/>
      <c r="AJ94" s="47"/>
      <c r="AK94" s="47"/>
      <c r="AL94" s="47">
        <v>4</v>
      </c>
      <c r="AM94" s="28">
        <f t="shared" si="1"/>
        <v>16</v>
      </c>
      <c r="AN94" s="28"/>
    </row>
    <row r="95" spans="1:40">
      <c r="A95" s="28">
        <v>93</v>
      </c>
      <c r="B95" s="29">
        <v>500840</v>
      </c>
      <c r="C95" s="28" t="s">
        <v>176</v>
      </c>
      <c r="D95" s="28"/>
      <c r="E95" s="28">
        <v>20190205</v>
      </c>
      <c r="F95" s="28"/>
      <c r="G95" s="29" t="s">
        <v>51</v>
      </c>
      <c r="H95" s="30" t="s">
        <v>61</v>
      </c>
      <c r="I95" s="28" t="s">
        <v>62</v>
      </c>
      <c r="J95" s="28" t="s">
        <v>58</v>
      </c>
      <c r="K95" s="47"/>
      <c r="L95" s="47">
        <v>2</v>
      </c>
      <c r="M95" s="47">
        <v>2</v>
      </c>
      <c r="N95" s="47">
        <v>2</v>
      </c>
      <c r="O95" s="47"/>
      <c r="P95" s="47">
        <v>2</v>
      </c>
      <c r="Q95" s="47"/>
      <c r="R95" s="47"/>
      <c r="S95" s="47">
        <v>2</v>
      </c>
      <c r="T95" s="47">
        <v>2</v>
      </c>
      <c r="U95" s="47"/>
      <c r="V95" s="47"/>
      <c r="W95" s="47">
        <v>7</v>
      </c>
      <c r="X95" s="47"/>
      <c r="Y95" s="47"/>
      <c r="Z95" s="47">
        <v>7</v>
      </c>
      <c r="AA95" s="47">
        <v>7</v>
      </c>
      <c r="AB95" s="47">
        <v>2</v>
      </c>
      <c r="AC95" s="47"/>
      <c r="AD95" s="47">
        <v>2</v>
      </c>
      <c r="AE95" s="47">
        <v>2</v>
      </c>
      <c r="AF95" s="47"/>
      <c r="AG95" s="47">
        <v>2</v>
      </c>
      <c r="AH95" s="47"/>
      <c r="AI95" s="47"/>
      <c r="AJ95" s="47"/>
      <c r="AK95" s="47">
        <v>2</v>
      </c>
      <c r="AL95" s="47">
        <v>2</v>
      </c>
      <c r="AM95" s="28">
        <f t="shared" si="1"/>
        <v>45</v>
      </c>
      <c r="AN95" s="28"/>
    </row>
    <row r="96" spans="1:40">
      <c r="A96" s="28">
        <v>94</v>
      </c>
      <c r="B96" s="29">
        <v>500845</v>
      </c>
      <c r="C96" s="28" t="s">
        <v>178</v>
      </c>
      <c r="D96" s="28"/>
      <c r="E96" s="28">
        <v>20190221</v>
      </c>
      <c r="F96" s="28"/>
      <c r="G96" s="29" t="s">
        <v>51</v>
      </c>
      <c r="H96" s="30" t="s">
        <v>61</v>
      </c>
      <c r="I96" s="28" t="s">
        <v>62</v>
      </c>
      <c r="J96" s="28" t="s">
        <v>54</v>
      </c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>
        <v>4</v>
      </c>
      <c r="Y96" s="47"/>
      <c r="Z96" s="47"/>
      <c r="AA96" s="47">
        <v>8</v>
      </c>
      <c r="AB96" s="47"/>
      <c r="AC96" s="47"/>
      <c r="AD96" s="47"/>
      <c r="AE96" s="47">
        <v>4</v>
      </c>
      <c r="AF96" s="47"/>
      <c r="AG96" s="47"/>
      <c r="AH96" s="47"/>
      <c r="AI96" s="47"/>
      <c r="AJ96" s="47"/>
      <c r="AK96" s="47"/>
      <c r="AL96" s="47">
        <v>4</v>
      </c>
      <c r="AM96" s="28">
        <f t="shared" si="1"/>
        <v>20</v>
      </c>
      <c r="AN96" s="28"/>
    </row>
    <row r="97" spans="1:40">
      <c r="A97" s="28">
        <v>95</v>
      </c>
      <c r="B97" s="29">
        <v>500922</v>
      </c>
      <c r="C97" s="28" t="s">
        <v>179</v>
      </c>
      <c r="D97" s="28"/>
      <c r="E97" s="28">
        <v>20191001</v>
      </c>
      <c r="F97" s="28"/>
      <c r="G97" s="29" t="s">
        <v>51</v>
      </c>
      <c r="H97" s="30" t="s">
        <v>61</v>
      </c>
      <c r="I97" s="28" t="s">
        <v>62</v>
      </c>
      <c r="J97" s="28" t="s">
        <v>58</v>
      </c>
      <c r="K97" s="47"/>
      <c r="L97" s="47">
        <v>2</v>
      </c>
      <c r="M97" s="47"/>
      <c r="N97" s="47">
        <v>2</v>
      </c>
      <c r="O97" s="47"/>
      <c r="P97" s="47">
        <v>2</v>
      </c>
      <c r="Q97" s="47">
        <v>2</v>
      </c>
      <c r="R97" s="47"/>
      <c r="S97" s="47">
        <v>2</v>
      </c>
      <c r="T97" s="47"/>
      <c r="U97" s="47"/>
      <c r="V97" s="47">
        <v>7</v>
      </c>
      <c r="W97" s="47">
        <v>7</v>
      </c>
      <c r="X97" s="47"/>
      <c r="Y97" s="47"/>
      <c r="Z97" s="47">
        <v>7</v>
      </c>
      <c r="AA97" s="47"/>
      <c r="AB97" s="47">
        <v>2</v>
      </c>
      <c r="AC97" s="47"/>
      <c r="AD97" s="47">
        <v>2</v>
      </c>
      <c r="AE97" s="47"/>
      <c r="AF97" s="47"/>
      <c r="AG97" s="47">
        <v>2</v>
      </c>
      <c r="AH97" s="47"/>
      <c r="AI97" s="47"/>
      <c r="AJ97" s="47">
        <v>2</v>
      </c>
      <c r="AK97" s="47">
        <v>2</v>
      </c>
      <c r="AL97" s="47"/>
      <c r="AM97" s="28">
        <f t="shared" si="1"/>
        <v>41</v>
      </c>
      <c r="AN97" s="28"/>
    </row>
    <row r="98" spans="1:40">
      <c r="A98" s="28">
        <v>96</v>
      </c>
      <c r="B98" s="29">
        <v>500924</v>
      </c>
      <c r="C98" s="28" t="s">
        <v>180</v>
      </c>
      <c r="D98" s="28"/>
      <c r="E98" s="28">
        <v>20191022</v>
      </c>
      <c r="F98" s="28"/>
      <c r="G98" s="29" t="s">
        <v>51</v>
      </c>
      <c r="H98" s="30" t="s">
        <v>61</v>
      </c>
      <c r="I98" s="28" t="s">
        <v>62</v>
      </c>
      <c r="J98" s="28" t="s">
        <v>54</v>
      </c>
      <c r="K98" s="47"/>
      <c r="L98" s="47"/>
      <c r="M98" s="47"/>
      <c r="N98" s="47"/>
      <c r="O98" s="47"/>
      <c r="P98" s="47"/>
      <c r="Q98" s="47">
        <v>4</v>
      </c>
      <c r="R98" s="47"/>
      <c r="S98" s="47"/>
      <c r="T98" s="47"/>
      <c r="U98" s="47"/>
      <c r="V98" s="47">
        <v>8</v>
      </c>
      <c r="W98" s="47">
        <v>8</v>
      </c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28">
        <f t="shared" si="1"/>
        <v>20</v>
      </c>
      <c r="AN98" s="28"/>
    </row>
    <row r="99" spans="1:40">
      <c r="A99" s="28">
        <v>97</v>
      </c>
      <c r="B99" s="29">
        <v>500927</v>
      </c>
      <c r="C99" s="28" t="s">
        <v>182</v>
      </c>
      <c r="D99" s="28"/>
      <c r="E99" s="28">
        <v>20191029</v>
      </c>
      <c r="F99" s="28"/>
      <c r="G99" s="29" t="s">
        <v>51</v>
      </c>
      <c r="H99" s="30" t="s">
        <v>61</v>
      </c>
      <c r="I99" s="28" t="s">
        <v>62</v>
      </c>
      <c r="J99" s="28" t="s">
        <v>54</v>
      </c>
      <c r="K99" s="47"/>
      <c r="L99" s="47"/>
      <c r="M99" s="47"/>
      <c r="N99" s="47"/>
      <c r="O99" s="47"/>
      <c r="P99" s="47"/>
      <c r="Q99" s="47">
        <v>4</v>
      </c>
      <c r="R99" s="47"/>
      <c r="S99" s="47"/>
      <c r="T99" s="47"/>
      <c r="U99" s="47"/>
      <c r="V99" s="47"/>
      <c r="W99" s="47"/>
      <c r="X99" s="47"/>
      <c r="Y99" s="47"/>
      <c r="Z99" s="47">
        <v>8</v>
      </c>
      <c r="AA99" s="47">
        <v>8</v>
      </c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>
        <v>4</v>
      </c>
      <c r="AM99" s="28">
        <f t="shared" si="1"/>
        <v>24</v>
      </c>
      <c r="AN99" s="28"/>
    </row>
    <row r="100" spans="1:40">
      <c r="A100" s="28">
        <v>98</v>
      </c>
      <c r="B100" s="29">
        <v>500928</v>
      </c>
      <c r="C100" s="28" t="s">
        <v>183</v>
      </c>
      <c r="D100" s="28"/>
      <c r="E100" s="28">
        <v>20191029</v>
      </c>
      <c r="F100" s="28"/>
      <c r="G100" s="29" t="s">
        <v>51</v>
      </c>
      <c r="H100" s="30" t="s">
        <v>61</v>
      </c>
      <c r="I100" s="28" t="s">
        <v>62</v>
      </c>
      <c r="J100" s="28" t="s">
        <v>54</v>
      </c>
      <c r="K100" s="47"/>
      <c r="L100" s="47"/>
      <c r="M100" s="47"/>
      <c r="N100" s="47"/>
      <c r="O100" s="47"/>
      <c r="P100" s="47"/>
      <c r="Q100" s="47">
        <v>4</v>
      </c>
      <c r="R100" s="47"/>
      <c r="S100" s="47"/>
      <c r="T100" s="47"/>
      <c r="U100" s="47"/>
      <c r="V100" s="47">
        <v>8</v>
      </c>
      <c r="W100" s="47">
        <v>8</v>
      </c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28">
        <f t="shared" si="1"/>
        <v>20</v>
      </c>
      <c r="AN100" s="28"/>
    </row>
    <row r="101" spans="1:40">
      <c r="A101" s="28">
        <v>99</v>
      </c>
      <c r="B101" s="29">
        <v>500930</v>
      </c>
      <c r="C101" s="28" t="s">
        <v>184</v>
      </c>
      <c r="D101" s="28"/>
      <c r="E101" s="28">
        <v>20191029</v>
      </c>
      <c r="F101" s="28"/>
      <c r="G101" s="29" t="s">
        <v>51</v>
      </c>
      <c r="H101" s="30" t="s">
        <v>61</v>
      </c>
      <c r="I101" s="28" t="s">
        <v>62</v>
      </c>
      <c r="J101" s="28" t="s">
        <v>58</v>
      </c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>
        <v>7</v>
      </c>
      <c r="W101" s="47">
        <v>7</v>
      </c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28">
        <f t="shared" si="1"/>
        <v>14</v>
      </c>
      <c r="AN101" s="28"/>
    </row>
    <row r="102" spans="1:40">
      <c r="A102" s="28">
        <v>100</v>
      </c>
      <c r="B102" s="29">
        <v>500944</v>
      </c>
      <c r="C102" s="28" t="s">
        <v>186</v>
      </c>
      <c r="D102" s="28"/>
      <c r="E102" s="28">
        <v>20191119</v>
      </c>
      <c r="F102" s="28"/>
      <c r="G102" s="29" t="s">
        <v>51</v>
      </c>
      <c r="H102" s="30" t="s">
        <v>61</v>
      </c>
      <c r="I102" s="28" t="s">
        <v>62</v>
      </c>
      <c r="J102" s="28" t="s">
        <v>54</v>
      </c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>
        <v>8</v>
      </c>
      <c r="X102" s="47"/>
      <c r="Y102" s="47"/>
      <c r="Z102" s="47"/>
      <c r="AA102" s="47">
        <v>8</v>
      </c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>
        <v>4</v>
      </c>
      <c r="AM102" s="28">
        <f t="shared" si="1"/>
        <v>20</v>
      </c>
      <c r="AN102" s="28"/>
    </row>
    <row r="103" spans="1:40">
      <c r="A103" s="28">
        <v>101</v>
      </c>
      <c r="B103" s="29">
        <v>500952</v>
      </c>
      <c r="C103" s="28" t="s">
        <v>187</v>
      </c>
      <c r="D103" s="28"/>
      <c r="E103" s="28">
        <v>20191203</v>
      </c>
      <c r="F103" s="28"/>
      <c r="G103" s="29" t="s">
        <v>51</v>
      </c>
      <c r="H103" s="30" t="s">
        <v>61</v>
      </c>
      <c r="I103" s="28" t="s">
        <v>62</v>
      </c>
      <c r="J103" s="28" t="s">
        <v>58</v>
      </c>
      <c r="K103" s="47"/>
      <c r="L103" s="47"/>
      <c r="M103" s="47">
        <v>1</v>
      </c>
      <c r="N103" s="47"/>
      <c r="O103" s="47"/>
      <c r="P103" s="47"/>
      <c r="Q103" s="47">
        <v>4</v>
      </c>
      <c r="R103" s="47"/>
      <c r="S103" s="47"/>
      <c r="T103" s="47"/>
      <c r="U103" s="47">
        <v>2</v>
      </c>
      <c r="V103" s="47">
        <v>8</v>
      </c>
      <c r="W103" s="47">
        <v>8</v>
      </c>
      <c r="X103" s="47">
        <v>4</v>
      </c>
      <c r="Y103" s="47"/>
      <c r="Z103" s="47"/>
      <c r="AA103" s="47"/>
      <c r="AB103" s="47"/>
      <c r="AC103" s="47">
        <v>2</v>
      </c>
      <c r="AD103" s="47"/>
      <c r="AE103" s="47">
        <v>4</v>
      </c>
      <c r="AF103" s="47"/>
      <c r="AG103" s="47"/>
      <c r="AH103" s="47">
        <v>2</v>
      </c>
      <c r="AI103" s="47"/>
      <c r="AJ103" s="47"/>
      <c r="AK103" s="47"/>
      <c r="AL103" s="47">
        <v>4</v>
      </c>
      <c r="AM103" s="28">
        <f t="shared" si="1"/>
        <v>39</v>
      </c>
      <c r="AN103" s="28"/>
    </row>
    <row r="104" spans="1:40">
      <c r="A104" s="28">
        <v>102</v>
      </c>
      <c r="B104" s="29">
        <v>500959</v>
      </c>
      <c r="C104" s="28" t="s">
        <v>188</v>
      </c>
      <c r="D104" s="28"/>
      <c r="E104" s="28">
        <v>20200114</v>
      </c>
      <c r="F104" s="28"/>
      <c r="G104" s="29" t="s">
        <v>51</v>
      </c>
      <c r="H104" s="30" t="s">
        <v>61</v>
      </c>
      <c r="I104" s="28" t="s">
        <v>62</v>
      </c>
      <c r="J104" s="28" t="s">
        <v>54</v>
      </c>
      <c r="K104" s="47"/>
      <c r="L104" s="47">
        <v>2</v>
      </c>
      <c r="M104" s="47">
        <v>2</v>
      </c>
      <c r="N104" s="47"/>
      <c r="O104" s="47"/>
      <c r="P104" s="47">
        <v>2</v>
      </c>
      <c r="Q104" s="47"/>
      <c r="R104" s="47"/>
      <c r="S104" s="47"/>
      <c r="T104" s="47"/>
      <c r="U104" s="47"/>
      <c r="V104" s="47">
        <v>7</v>
      </c>
      <c r="W104" s="47">
        <v>7</v>
      </c>
      <c r="X104" s="47"/>
      <c r="Y104" s="47"/>
      <c r="Z104" s="47">
        <v>7</v>
      </c>
      <c r="AA104" s="47">
        <v>7</v>
      </c>
      <c r="AB104" s="47"/>
      <c r="AC104" s="47"/>
      <c r="AD104" s="47"/>
      <c r="AE104" s="47"/>
      <c r="AF104" s="47"/>
      <c r="AG104" s="47"/>
      <c r="AH104" s="47"/>
      <c r="AI104" s="47"/>
      <c r="AJ104" s="47">
        <v>2</v>
      </c>
      <c r="AK104" s="47"/>
      <c r="AL104" s="47"/>
      <c r="AM104" s="28">
        <f t="shared" si="1"/>
        <v>36</v>
      </c>
      <c r="AN104" s="28"/>
    </row>
    <row r="105" spans="1:40">
      <c r="A105" s="28">
        <v>103</v>
      </c>
      <c r="B105" s="29">
        <v>501042</v>
      </c>
      <c r="C105" s="28" t="s">
        <v>193</v>
      </c>
      <c r="D105" s="28"/>
      <c r="E105" s="28">
        <v>20210601</v>
      </c>
      <c r="F105" s="28"/>
      <c r="G105" s="29" t="s">
        <v>51</v>
      </c>
      <c r="H105" s="30" t="s">
        <v>61</v>
      </c>
      <c r="I105" s="28" t="s">
        <v>62</v>
      </c>
      <c r="J105" s="28" t="s">
        <v>58</v>
      </c>
      <c r="K105" s="47">
        <v>1</v>
      </c>
      <c r="L105" s="47"/>
      <c r="M105" s="47"/>
      <c r="N105" s="47"/>
      <c r="O105" s="47"/>
      <c r="P105" s="47"/>
      <c r="Q105" s="47"/>
      <c r="R105" s="47"/>
      <c r="S105" s="47"/>
      <c r="T105" s="47">
        <v>2</v>
      </c>
      <c r="U105" s="47"/>
      <c r="V105" s="47">
        <v>8</v>
      </c>
      <c r="W105" s="47">
        <v>8</v>
      </c>
      <c r="X105" s="47"/>
      <c r="Y105" s="47">
        <v>1</v>
      </c>
      <c r="Z105" s="47">
        <v>8</v>
      </c>
      <c r="AA105" s="47">
        <v>8</v>
      </c>
      <c r="AB105" s="47"/>
      <c r="AC105" s="47"/>
      <c r="AD105" s="47"/>
      <c r="AE105" s="47"/>
      <c r="AF105" s="47"/>
      <c r="AG105" s="47"/>
      <c r="AH105" s="47">
        <v>1</v>
      </c>
      <c r="AI105" s="47">
        <v>2</v>
      </c>
      <c r="AJ105" s="47">
        <v>1</v>
      </c>
      <c r="AK105" s="47"/>
      <c r="AL105" s="47"/>
      <c r="AM105" s="28">
        <f t="shared" si="1"/>
        <v>40</v>
      </c>
      <c r="AN105" s="28"/>
    </row>
    <row r="106" spans="1:40">
      <c r="A106" s="28">
        <v>104</v>
      </c>
      <c r="B106" s="29">
        <v>501099</v>
      </c>
      <c r="C106" s="28" t="s">
        <v>200</v>
      </c>
      <c r="D106" s="28"/>
      <c r="E106" s="28">
        <v>20211209</v>
      </c>
      <c r="F106" s="28"/>
      <c r="G106" s="29" t="s">
        <v>51</v>
      </c>
      <c r="H106" s="30" t="s">
        <v>61</v>
      </c>
      <c r="I106" s="28" t="s">
        <v>62</v>
      </c>
      <c r="J106" s="28" t="s">
        <v>58</v>
      </c>
      <c r="K106" s="47"/>
      <c r="L106" s="47"/>
      <c r="M106" s="47"/>
      <c r="N106" s="47">
        <v>2</v>
      </c>
      <c r="O106" s="47"/>
      <c r="P106" s="47"/>
      <c r="Q106" s="47"/>
      <c r="R106" s="47"/>
      <c r="S106" s="47"/>
      <c r="T106" s="47"/>
      <c r="U106" s="47"/>
      <c r="V106" s="47">
        <v>7</v>
      </c>
      <c r="W106" s="47">
        <v>7</v>
      </c>
      <c r="X106" s="47"/>
      <c r="Y106" s="47"/>
      <c r="Z106" s="47">
        <v>7</v>
      </c>
      <c r="AA106" s="47">
        <v>7</v>
      </c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28">
        <f t="shared" si="1"/>
        <v>30</v>
      </c>
      <c r="AN106" s="28"/>
    </row>
    <row r="107" spans="1:40">
      <c r="A107" s="28">
        <v>105</v>
      </c>
      <c r="B107" s="29">
        <v>501112</v>
      </c>
      <c r="C107" s="28" t="s">
        <v>202</v>
      </c>
      <c r="D107" s="28"/>
      <c r="E107" s="28">
        <v>20220421</v>
      </c>
      <c r="F107" s="28"/>
      <c r="G107" s="29" t="s">
        <v>51</v>
      </c>
      <c r="H107" s="30" t="s">
        <v>61</v>
      </c>
      <c r="I107" s="28" t="s">
        <v>62</v>
      </c>
      <c r="J107" s="28" t="s">
        <v>54</v>
      </c>
      <c r="K107" s="47"/>
      <c r="L107" s="47"/>
      <c r="M107" s="47">
        <v>2</v>
      </c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>
        <v>7</v>
      </c>
      <c r="AA107" s="47">
        <v>7</v>
      </c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28">
        <f t="shared" si="1"/>
        <v>16</v>
      </c>
      <c r="AN107" s="28"/>
    </row>
    <row r="108" spans="1:40">
      <c r="A108" s="28">
        <v>106</v>
      </c>
      <c r="B108" s="29">
        <v>501114</v>
      </c>
      <c r="C108" s="28" t="s">
        <v>203</v>
      </c>
      <c r="D108" s="28"/>
      <c r="E108" s="28">
        <v>20220510</v>
      </c>
      <c r="F108" s="28"/>
      <c r="G108" s="29" t="s">
        <v>51</v>
      </c>
      <c r="H108" s="30" t="s">
        <v>61</v>
      </c>
      <c r="I108" s="28" t="s">
        <v>62</v>
      </c>
      <c r="J108" s="28" t="s">
        <v>54</v>
      </c>
      <c r="K108" s="47"/>
      <c r="L108" s="47"/>
      <c r="M108" s="47"/>
      <c r="N108" s="47"/>
      <c r="O108" s="47"/>
      <c r="P108" s="47"/>
      <c r="Q108" s="47">
        <v>4</v>
      </c>
      <c r="R108" s="47"/>
      <c r="S108" s="47"/>
      <c r="T108" s="47"/>
      <c r="U108" s="47"/>
      <c r="V108" s="47">
        <v>8</v>
      </c>
      <c r="W108" s="47"/>
      <c r="X108" s="47">
        <v>4</v>
      </c>
      <c r="Y108" s="47"/>
      <c r="Z108" s="47"/>
      <c r="AA108" s="47"/>
      <c r="AB108" s="47"/>
      <c r="AC108" s="47"/>
      <c r="AD108" s="47"/>
      <c r="AE108" s="47">
        <v>4</v>
      </c>
      <c r="AF108" s="47"/>
      <c r="AG108" s="47"/>
      <c r="AH108" s="47"/>
      <c r="AI108" s="47"/>
      <c r="AJ108" s="47"/>
      <c r="AK108" s="47"/>
      <c r="AL108" s="47"/>
      <c r="AM108" s="28">
        <f t="shared" si="1"/>
        <v>20</v>
      </c>
      <c r="AN108" s="28"/>
    </row>
    <row r="109" spans="1:40">
      <c r="A109" s="28">
        <v>107</v>
      </c>
      <c r="B109" s="29">
        <v>501235</v>
      </c>
      <c r="C109" s="28" t="s">
        <v>222</v>
      </c>
      <c r="D109" s="28"/>
      <c r="E109" s="28">
        <v>20240718</v>
      </c>
      <c r="F109" s="28"/>
      <c r="G109" s="29" t="s">
        <v>51</v>
      </c>
      <c r="H109" s="30" t="s">
        <v>61</v>
      </c>
      <c r="I109" s="28" t="s">
        <v>62</v>
      </c>
      <c r="J109" s="28" t="s">
        <v>58</v>
      </c>
      <c r="K109" s="47"/>
      <c r="L109" s="47"/>
      <c r="M109" s="47">
        <v>1</v>
      </c>
      <c r="N109" s="47">
        <v>2</v>
      </c>
      <c r="O109" s="47"/>
      <c r="P109" s="47"/>
      <c r="Q109" s="47">
        <v>4</v>
      </c>
      <c r="R109" s="47"/>
      <c r="S109" s="47"/>
      <c r="T109" s="47"/>
      <c r="U109" s="47">
        <v>2</v>
      </c>
      <c r="V109" s="47">
        <v>8</v>
      </c>
      <c r="W109" s="47">
        <v>8</v>
      </c>
      <c r="X109" s="47">
        <v>4</v>
      </c>
      <c r="Y109" s="47"/>
      <c r="Z109" s="47">
        <v>8</v>
      </c>
      <c r="AA109" s="47">
        <v>8</v>
      </c>
      <c r="AB109" s="47"/>
      <c r="AC109" s="47">
        <v>2</v>
      </c>
      <c r="AD109" s="47"/>
      <c r="AE109" s="47">
        <v>4</v>
      </c>
      <c r="AF109" s="47"/>
      <c r="AG109" s="47">
        <v>1</v>
      </c>
      <c r="AH109" s="47">
        <v>2</v>
      </c>
      <c r="AI109" s="47"/>
      <c r="AJ109" s="47"/>
      <c r="AK109" s="47"/>
      <c r="AL109" s="47">
        <v>4</v>
      </c>
      <c r="AM109" s="28">
        <f t="shared" si="1"/>
        <v>58</v>
      </c>
      <c r="AN109" s="28"/>
    </row>
    <row r="110" spans="1:40">
      <c r="A110" s="28">
        <v>108</v>
      </c>
      <c r="B110" s="29">
        <v>501271</v>
      </c>
      <c r="C110" s="28" t="s">
        <v>245</v>
      </c>
      <c r="D110" s="28"/>
      <c r="E110" s="28">
        <v>20250328</v>
      </c>
      <c r="F110" s="28"/>
      <c r="G110" s="29" t="s">
        <v>51</v>
      </c>
      <c r="H110" s="30" t="s">
        <v>61</v>
      </c>
      <c r="I110" s="28" t="s">
        <v>62</v>
      </c>
      <c r="J110" s="28" t="s">
        <v>58</v>
      </c>
      <c r="K110" s="47"/>
      <c r="L110" s="47"/>
      <c r="M110" s="47">
        <v>1</v>
      </c>
      <c r="N110" s="47">
        <v>2</v>
      </c>
      <c r="O110" s="47"/>
      <c r="P110" s="47"/>
      <c r="Q110" s="47">
        <v>4</v>
      </c>
      <c r="R110" s="47"/>
      <c r="S110" s="47"/>
      <c r="T110" s="47"/>
      <c r="U110" s="47">
        <v>2</v>
      </c>
      <c r="V110" s="47"/>
      <c r="W110" s="47"/>
      <c r="X110" s="47">
        <v>4</v>
      </c>
      <c r="Y110" s="47"/>
      <c r="Z110" s="47">
        <v>8</v>
      </c>
      <c r="AA110" s="47">
        <v>8</v>
      </c>
      <c r="AB110" s="47"/>
      <c r="AC110" s="47">
        <v>2</v>
      </c>
      <c r="AD110" s="47"/>
      <c r="AE110" s="47">
        <v>4</v>
      </c>
      <c r="AF110" s="47"/>
      <c r="AG110" s="47"/>
      <c r="AH110" s="47">
        <v>2</v>
      </c>
      <c r="AI110" s="47"/>
      <c r="AJ110" s="47"/>
      <c r="AK110" s="47"/>
      <c r="AL110" s="47"/>
      <c r="AM110" s="28">
        <f t="shared" si="1"/>
        <v>37</v>
      </c>
      <c r="AN110" s="28"/>
    </row>
    <row r="111" spans="1:40">
      <c r="A111" s="28">
        <v>109</v>
      </c>
      <c r="B111" s="29">
        <v>501279</v>
      </c>
      <c r="C111" s="28" t="s">
        <v>251</v>
      </c>
      <c r="D111" s="28"/>
      <c r="E111" s="28">
        <v>20250506</v>
      </c>
      <c r="F111" s="28"/>
      <c r="G111" s="29" t="s">
        <v>51</v>
      </c>
      <c r="H111" s="30" t="s">
        <v>61</v>
      </c>
      <c r="I111" s="28" t="s">
        <v>62</v>
      </c>
      <c r="J111" s="28" t="s">
        <v>58</v>
      </c>
      <c r="K111" s="47"/>
      <c r="L111" s="47"/>
      <c r="M111" s="47">
        <v>1</v>
      </c>
      <c r="N111" s="47"/>
      <c r="O111" s="47"/>
      <c r="P111" s="47"/>
      <c r="Q111" s="47"/>
      <c r="R111" s="47"/>
      <c r="S111" s="47"/>
      <c r="T111" s="47"/>
      <c r="U111" s="47">
        <v>2</v>
      </c>
      <c r="V111" s="47"/>
      <c r="W111" s="47"/>
      <c r="X111" s="47">
        <v>4</v>
      </c>
      <c r="Y111" s="47"/>
      <c r="Z111" s="47">
        <v>8</v>
      </c>
      <c r="AA111" s="47">
        <v>8</v>
      </c>
      <c r="AB111" s="47"/>
      <c r="AC111" s="47">
        <v>2</v>
      </c>
      <c r="AD111" s="47"/>
      <c r="AE111" s="47">
        <v>1</v>
      </c>
      <c r="AF111" s="47"/>
      <c r="AG111" s="47"/>
      <c r="AH111" s="47">
        <v>2</v>
      </c>
      <c r="AI111" s="47"/>
      <c r="AJ111" s="47"/>
      <c r="AK111" s="47"/>
      <c r="AL111" s="47"/>
      <c r="AM111" s="28">
        <f t="shared" si="1"/>
        <v>28</v>
      </c>
      <c r="AN111" s="28"/>
    </row>
    <row r="112" spans="1:40">
      <c r="A112" s="28">
        <v>110</v>
      </c>
      <c r="B112" s="29">
        <v>501285</v>
      </c>
      <c r="C112" s="28" t="s">
        <v>256</v>
      </c>
      <c r="D112" s="28"/>
      <c r="E112" s="28">
        <v>20250529</v>
      </c>
      <c r="F112" s="28"/>
      <c r="G112" s="29" t="s">
        <v>51</v>
      </c>
      <c r="H112" s="30" t="s">
        <v>61</v>
      </c>
      <c r="I112" s="28" t="s">
        <v>62</v>
      </c>
      <c r="J112" s="28" t="s">
        <v>54</v>
      </c>
      <c r="K112" s="47"/>
      <c r="L112" s="47"/>
      <c r="M112" s="47"/>
      <c r="N112" s="47"/>
      <c r="O112" s="47"/>
      <c r="P112" s="47"/>
      <c r="Q112" s="47">
        <v>4</v>
      </c>
      <c r="R112" s="47"/>
      <c r="S112" s="47"/>
      <c r="T112" s="47"/>
      <c r="U112" s="47"/>
      <c r="V112" s="47">
        <v>8</v>
      </c>
      <c r="W112" s="47">
        <v>8</v>
      </c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28">
        <f t="shared" si="1"/>
        <v>20</v>
      </c>
      <c r="AN112" s="28"/>
    </row>
    <row r="113" spans="1:40">
      <c r="A113" s="28">
        <v>111</v>
      </c>
      <c r="B113" s="29">
        <v>501292</v>
      </c>
      <c r="C113" s="28" t="s">
        <v>258</v>
      </c>
      <c r="D113" s="28"/>
      <c r="E113" s="28">
        <v>20250624</v>
      </c>
      <c r="F113" s="28"/>
      <c r="G113" s="29" t="s">
        <v>51</v>
      </c>
      <c r="H113" s="30" t="s">
        <v>61</v>
      </c>
      <c r="I113" s="28" t="s">
        <v>62</v>
      </c>
      <c r="J113" s="28" t="s">
        <v>58</v>
      </c>
      <c r="K113" s="47"/>
      <c r="L113" s="47"/>
      <c r="M113" s="47">
        <v>1</v>
      </c>
      <c r="N113" s="47">
        <v>2</v>
      </c>
      <c r="O113" s="47"/>
      <c r="P113" s="47"/>
      <c r="Q113" s="47">
        <v>4</v>
      </c>
      <c r="R113" s="47"/>
      <c r="S113" s="47"/>
      <c r="T113" s="47"/>
      <c r="U113" s="47">
        <v>2</v>
      </c>
      <c r="V113" s="47">
        <v>8</v>
      </c>
      <c r="W113" s="47">
        <v>8</v>
      </c>
      <c r="X113" s="47">
        <v>4</v>
      </c>
      <c r="Y113" s="47"/>
      <c r="Z113" s="47"/>
      <c r="AA113" s="47"/>
      <c r="AB113" s="47"/>
      <c r="AC113" s="47">
        <v>2</v>
      </c>
      <c r="AD113" s="47"/>
      <c r="AE113" s="47">
        <v>4</v>
      </c>
      <c r="AF113" s="47"/>
      <c r="AG113" s="47"/>
      <c r="AH113" s="47"/>
      <c r="AI113" s="47"/>
      <c r="AJ113" s="47"/>
      <c r="AK113" s="47"/>
      <c r="AL113" s="47">
        <v>4</v>
      </c>
      <c r="AM113" s="28">
        <f t="shared" si="1"/>
        <v>39</v>
      </c>
      <c r="AN113" s="28"/>
    </row>
    <row r="114" spans="1:40">
      <c r="A114" s="28">
        <v>112</v>
      </c>
      <c r="B114" s="29">
        <v>501300</v>
      </c>
      <c r="C114" s="28" t="s">
        <v>263</v>
      </c>
      <c r="D114" s="28"/>
      <c r="E114" s="28">
        <v>20251008</v>
      </c>
      <c r="F114" s="28"/>
      <c r="G114" s="29" t="s">
        <v>51</v>
      </c>
      <c r="H114" s="30" t="s">
        <v>61</v>
      </c>
      <c r="I114" s="28" t="s">
        <v>62</v>
      </c>
      <c r="J114" s="28" t="s">
        <v>54</v>
      </c>
      <c r="K114" s="47"/>
      <c r="L114" s="47"/>
      <c r="M114" s="47"/>
      <c r="N114" s="47"/>
      <c r="O114" s="47"/>
      <c r="P114" s="47"/>
      <c r="Q114" s="47">
        <v>4</v>
      </c>
      <c r="R114" s="47"/>
      <c r="S114" s="47"/>
      <c r="T114" s="47"/>
      <c r="U114" s="47"/>
      <c r="V114" s="47"/>
      <c r="W114" s="47"/>
      <c r="X114" s="47">
        <v>4</v>
      </c>
      <c r="Y114" s="47"/>
      <c r="Z114" s="47"/>
      <c r="AA114" s="47">
        <v>8</v>
      </c>
      <c r="AB114" s="47"/>
      <c r="AC114" s="47"/>
      <c r="AD114" s="47"/>
      <c r="AE114" s="47">
        <v>4</v>
      </c>
      <c r="AF114" s="47"/>
      <c r="AG114" s="47"/>
      <c r="AH114" s="47"/>
      <c r="AI114" s="47"/>
      <c r="AJ114" s="47"/>
      <c r="AK114" s="47"/>
      <c r="AL114" s="47">
        <v>4</v>
      </c>
      <c r="AM114" s="28">
        <f t="shared" si="1"/>
        <v>24</v>
      </c>
      <c r="AN114" s="28"/>
    </row>
    <row r="115" spans="1:40">
      <c r="A115" s="28">
        <v>113</v>
      </c>
      <c r="B115" s="29">
        <v>501301</v>
      </c>
      <c r="C115" s="28" t="s">
        <v>264</v>
      </c>
      <c r="D115" s="28"/>
      <c r="E115" s="28">
        <v>20251008</v>
      </c>
      <c r="F115" s="28"/>
      <c r="G115" s="29" t="s">
        <v>51</v>
      </c>
      <c r="H115" s="30" t="s">
        <v>61</v>
      </c>
      <c r="I115" s="28" t="s">
        <v>62</v>
      </c>
      <c r="J115" s="28" t="s">
        <v>58</v>
      </c>
      <c r="K115" s="47"/>
      <c r="L115" s="47"/>
      <c r="M115" s="47"/>
      <c r="N115" s="47"/>
      <c r="O115" s="47"/>
      <c r="P115" s="47"/>
      <c r="Q115" s="47">
        <v>4</v>
      </c>
      <c r="R115" s="47"/>
      <c r="S115" s="47"/>
      <c r="T115" s="47"/>
      <c r="U115" s="47"/>
      <c r="V115" s="47"/>
      <c r="W115" s="47"/>
      <c r="X115" s="47">
        <v>4</v>
      </c>
      <c r="Y115" s="47"/>
      <c r="Z115" s="47"/>
      <c r="AA115" s="47"/>
      <c r="AB115" s="47"/>
      <c r="AC115" s="47"/>
      <c r="AD115" s="47"/>
      <c r="AE115" s="47">
        <v>4</v>
      </c>
      <c r="AF115" s="47"/>
      <c r="AG115" s="47"/>
      <c r="AH115" s="47">
        <v>2</v>
      </c>
      <c r="AI115" s="47"/>
      <c r="AJ115" s="47"/>
      <c r="AK115" s="47"/>
      <c r="AL115" s="47">
        <v>4</v>
      </c>
      <c r="AM115" s="28">
        <f t="shared" si="1"/>
        <v>18</v>
      </c>
      <c r="AN115" s="28"/>
    </row>
    <row r="116" spans="1:40">
      <c r="A116" s="28">
        <v>114</v>
      </c>
      <c r="B116" s="29">
        <v>500242</v>
      </c>
      <c r="C116" s="28" t="s">
        <v>102</v>
      </c>
      <c r="D116" s="28"/>
      <c r="E116" s="28">
        <v>20151229</v>
      </c>
      <c r="F116" s="28"/>
      <c r="G116" s="29" t="s">
        <v>51</v>
      </c>
      <c r="H116" s="30" t="s">
        <v>103</v>
      </c>
      <c r="I116" s="28" t="s">
        <v>104</v>
      </c>
      <c r="J116" s="28" t="s">
        <v>58</v>
      </c>
      <c r="K116" s="47"/>
      <c r="L116" s="47"/>
      <c r="M116" s="47"/>
      <c r="N116" s="47"/>
      <c r="O116" s="47"/>
      <c r="P116" s="47"/>
      <c r="Q116" s="47">
        <v>5</v>
      </c>
      <c r="R116" s="47"/>
      <c r="S116" s="47"/>
      <c r="T116" s="47"/>
      <c r="U116" s="47"/>
      <c r="V116" s="47"/>
      <c r="W116" s="47"/>
      <c r="X116" s="47">
        <v>5</v>
      </c>
      <c r="Y116" s="47"/>
      <c r="Z116" s="47"/>
      <c r="AA116" s="47"/>
      <c r="AB116" s="47"/>
      <c r="AC116" s="47"/>
      <c r="AD116" s="47"/>
      <c r="AE116" s="47">
        <v>5</v>
      </c>
      <c r="AF116" s="47"/>
      <c r="AG116" s="47"/>
      <c r="AH116" s="47"/>
      <c r="AI116" s="47"/>
      <c r="AJ116" s="47"/>
      <c r="AK116" s="47">
        <v>0.5</v>
      </c>
      <c r="AL116" s="47">
        <v>5</v>
      </c>
      <c r="AM116" s="28">
        <f t="shared" si="1"/>
        <v>20.5</v>
      </c>
      <c r="AN116" s="28"/>
    </row>
    <row r="117" spans="1:40">
      <c r="A117" s="28">
        <v>115</v>
      </c>
      <c r="B117" s="29">
        <v>500298</v>
      </c>
      <c r="C117" s="28" t="s">
        <v>111</v>
      </c>
      <c r="D117" s="28"/>
      <c r="E117" s="28">
        <v>20160503</v>
      </c>
      <c r="F117" s="28"/>
      <c r="G117" s="29" t="s">
        <v>51</v>
      </c>
      <c r="H117" s="30" t="s">
        <v>103</v>
      </c>
      <c r="I117" s="28" t="s">
        <v>104</v>
      </c>
      <c r="J117" s="28" t="s">
        <v>58</v>
      </c>
      <c r="K117" s="47"/>
      <c r="L117" s="47"/>
      <c r="M117" s="47"/>
      <c r="N117" s="47"/>
      <c r="O117" s="47"/>
      <c r="P117" s="47"/>
      <c r="Q117" s="47">
        <v>5</v>
      </c>
      <c r="R117" s="47"/>
      <c r="S117" s="47"/>
      <c r="T117" s="47"/>
      <c r="U117" s="47"/>
      <c r="V117" s="47"/>
      <c r="W117" s="47"/>
      <c r="X117" s="47">
        <v>5</v>
      </c>
      <c r="Y117" s="47"/>
      <c r="Z117" s="47"/>
      <c r="AA117" s="47"/>
      <c r="AB117" s="47"/>
      <c r="AC117" s="47"/>
      <c r="AD117" s="47"/>
      <c r="AE117" s="47">
        <v>5</v>
      </c>
      <c r="AF117" s="47"/>
      <c r="AG117" s="47"/>
      <c r="AH117" s="47"/>
      <c r="AI117" s="47"/>
      <c r="AJ117" s="47"/>
      <c r="AK117" s="47"/>
      <c r="AL117" s="47">
        <v>5</v>
      </c>
      <c r="AM117" s="28">
        <f t="shared" si="1"/>
        <v>20</v>
      </c>
      <c r="AN117" s="28"/>
    </row>
    <row r="118" spans="1:40">
      <c r="A118" s="28">
        <v>116</v>
      </c>
      <c r="B118" s="29">
        <v>500389</v>
      </c>
      <c r="C118" s="28" t="s">
        <v>130</v>
      </c>
      <c r="D118" s="28"/>
      <c r="E118" s="28">
        <v>20161007</v>
      </c>
      <c r="F118" s="28"/>
      <c r="G118" s="29" t="s">
        <v>51</v>
      </c>
      <c r="H118" s="30" t="s">
        <v>103</v>
      </c>
      <c r="I118" s="28" t="s">
        <v>104</v>
      </c>
      <c r="J118" s="28" t="s">
        <v>54</v>
      </c>
      <c r="K118" s="47"/>
      <c r="L118" s="47"/>
      <c r="M118" s="47"/>
      <c r="N118" s="47"/>
      <c r="O118" s="47"/>
      <c r="P118" s="47"/>
      <c r="Q118" s="47">
        <v>5</v>
      </c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28">
        <f t="shared" si="1"/>
        <v>5</v>
      </c>
      <c r="AN118" s="28"/>
    </row>
    <row r="119" spans="1:40">
      <c r="A119" s="28">
        <v>117</v>
      </c>
      <c r="B119" s="29">
        <v>500689</v>
      </c>
      <c r="C119" s="28" t="s">
        <v>159</v>
      </c>
      <c r="D119" s="28"/>
      <c r="E119" s="28">
        <v>20180220</v>
      </c>
      <c r="F119" s="28"/>
      <c r="G119" s="29" t="s">
        <v>51</v>
      </c>
      <c r="H119" s="30" t="s">
        <v>103</v>
      </c>
      <c r="I119" s="28" t="s">
        <v>104</v>
      </c>
      <c r="J119" s="28" t="s">
        <v>58</v>
      </c>
      <c r="K119" s="47"/>
      <c r="L119" s="47"/>
      <c r="M119" s="47"/>
      <c r="N119" s="47"/>
      <c r="O119" s="47"/>
      <c r="P119" s="47"/>
      <c r="Q119" s="47">
        <v>5</v>
      </c>
      <c r="R119" s="47"/>
      <c r="S119" s="47"/>
      <c r="T119" s="47"/>
      <c r="U119" s="47"/>
      <c r="V119" s="47"/>
      <c r="W119" s="47"/>
      <c r="X119" s="47">
        <v>5</v>
      </c>
      <c r="Y119" s="47"/>
      <c r="Z119" s="47"/>
      <c r="AA119" s="47"/>
      <c r="AB119" s="47"/>
      <c r="AC119" s="47"/>
      <c r="AD119" s="47"/>
      <c r="AE119" s="47">
        <v>5</v>
      </c>
      <c r="AF119" s="47"/>
      <c r="AG119" s="47"/>
      <c r="AH119" s="47"/>
      <c r="AI119" s="47"/>
      <c r="AJ119" s="47"/>
      <c r="AK119" s="47"/>
      <c r="AL119" s="47">
        <v>5</v>
      </c>
      <c r="AM119" s="28">
        <f t="shared" si="1"/>
        <v>20</v>
      </c>
      <c r="AN119" s="28"/>
    </row>
    <row r="120" spans="1:40">
      <c r="A120" s="28">
        <v>118</v>
      </c>
      <c r="B120" s="29">
        <v>500756</v>
      </c>
      <c r="C120" s="28" t="s">
        <v>164</v>
      </c>
      <c r="D120" s="28"/>
      <c r="E120" s="28">
        <v>20180612</v>
      </c>
      <c r="F120" s="28"/>
      <c r="G120" s="29" t="s">
        <v>51</v>
      </c>
      <c r="H120" s="30" t="s">
        <v>103</v>
      </c>
      <c r="I120" s="28" t="s">
        <v>104</v>
      </c>
      <c r="J120" s="28" t="s">
        <v>58</v>
      </c>
      <c r="K120" s="47"/>
      <c r="L120" s="47"/>
      <c r="M120" s="47"/>
      <c r="N120" s="47"/>
      <c r="O120" s="47"/>
      <c r="P120" s="47"/>
      <c r="Q120" s="47">
        <v>5</v>
      </c>
      <c r="R120" s="47"/>
      <c r="S120" s="47"/>
      <c r="T120" s="47"/>
      <c r="U120" s="47"/>
      <c r="V120" s="47"/>
      <c r="W120" s="47"/>
      <c r="X120" s="47">
        <v>5</v>
      </c>
      <c r="Y120" s="47"/>
      <c r="Z120" s="47"/>
      <c r="AA120" s="47"/>
      <c r="AB120" s="47"/>
      <c r="AC120" s="47"/>
      <c r="AD120" s="47"/>
      <c r="AE120" s="47">
        <v>5</v>
      </c>
      <c r="AF120" s="47"/>
      <c r="AG120" s="47"/>
      <c r="AH120" s="47"/>
      <c r="AI120" s="47"/>
      <c r="AJ120" s="47"/>
      <c r="AK120" s="47"/>
      <c r="AL120" s="47">
        <v>5</v>
      </c>
      <c r="AM120" s="28">
        <f t="shared" si="1"/>
        <v>20</v>
      </c>
      <c r="AN120" s="28"/>
    </row>
    <row r="121" spans="1:40">
      <c r="A121" s="28">
        <v>119</v>
      </c>
      <c r="B121" s="29">
        <v>501073</v>
      </c>
      <c r="C121" s="28" t="s">
        <v>195</v>
      </c>
      <c r="D121" s="28"/>
      <c r="E121" s="28">
        <v>20211026</v>
      </c>
      <c r="F121" s="28"/>
      <c r="G121" s="29" t="s">
        <v>51</v>
      </c>
      <c r="H121" s="30" t="s">
        <v>103</v>
      </c>
      <c r="I121" s="28" t="s">
        <v>104</v>
      </c>
      <c r="J121" s="28" t="s">
        <v>54</v>
      </c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28">
        <f t="shared" si="1"/>
        <v>0</v>
      </c>
      <c r="AN121" s="28"/>
    </row>
    <row r="122" spans="1:40">
      <c r="A122" s="28">
        <v>120</v>
      </c>
      <c r="B122" s="29">
        <v>501252</v>
      </c>
      <c r="C122" s="28" t="s">
        <v>234</v>
      </c>
      <c r="D122" s="28"/>
      <c r="E122" s="28">
        <v>20241022</v>
      </c>
      <c r="F122" s="28"/>
      <c r="G122" s="29" t="s">
        <v>51</v>
      </c>
      <c r="H122" s="30" t="s">
        <v>103</v>
      </c>
      <c r="I122" s="28" t="s">
        <v>104</v>
      </c>
      <c r="J122" s="28" t="s">
        <v>58</v>
      </c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>
        <v>5</v>
      </c>
      <c r="AF122" s="47"/>
      <c r="AG122" s="47"/>
      <c r="AH122" s="47"/>
      <c r="AI122" s="47"/>
      <c r="AJ122" s="47"/>
      <c r="AK122" s="47"/>
      <c r="AL122" s="47">
        <v>5</v>
      </c>
      <c r="AM122" s="28">
        <f t="shared" si="1"/>
        <v>10</v>
      </c>
      <c r="AN122" s="28"/>
    </row>
    <row r="123" spans="1:40">
      <c r="A123" s="28">
        <v>121</v>
      </c>
      <c r="B123" s="29">
        <v>500349</v>
      </c>
      <c r="C123" s="28" t="s">
        <v>120</v>
      </c>
      <c r="D123" s="28"/>
      <c r="E123" s="28">
        <v>20160728</v>
      </c>
      <c r="F123" s="28"/>
      <c r="G123" s="29" t="s">
        <v>51</v>
      </c>
      <c r="H123" s="30" t="s">
        <v>121</v>
      </c>
      <c r="I123" s="28" t="s">
        <v>122</v>
      </c>
      <c r="J123" s="28" t="s">
        <v>54</v>
      </c>
      <c r="K123" s="47"/>
      <c r="L123" s="47">
        <v>2</v>
      </c>
      <c r="M123" s="47">
        <v>2</v>
      </c>
      <c r="N123" s="47">
        <v>2</v>
      </c>
      <c r="O123" s="47"/>
      <c r="P123" s="47">
        <v>2</v>
      </c>
      <c r="Q123" s="47">
        <v>5</v>
      </c>
      <c r="R123" s="47"/>
      <c r="S123" s="47"/>
      <c r="T123" s="47"/>
      <c r="U123" s="47"/>
      <c r="V123" s="47"/>
      <c r="W123" s="47"/>
      <c r="X123" s="47"/>
      <c r="Y123" s="47"/>
      <c r="Z123" s="47">
        <v>8</v>
      </c>
      <c r="AA123" s="47"/>
      <c r="AB123" s="47">
        <v>2</v>
      </c>
      <c r="AC123" s="47">
        <v>2</v>
      </c>
      <c r="AD123" s="47">
        <v>2</v>
      </c>
      <c r="AE123" s="47">
        <v>5</v>
      </c>
      <c r="AF123" s="47"/>
      <c r="AG123" s="47">
        <v>2</v>
      </c>
      <c r="AH123" s="47">
        <v>2</v>
      </c>
      <c r="AI123" s="47">
        <v>2</v>
      </c>
      <c r="AJ123" s="47">
        <v>2</v>
      </c>
      <c r="AK123" s="47">
        <v>2</v>
      </c>
      <c r="AL123" s="47">
        <v>5</v>
      </c>
      <c r="AM123" s="28">
        <f t="shared" si="1"/>
        <v>47</v>
      </c>
      <c r="AN123" s="28"/>
    </row>
    <row r="124" spans="1:40">
      <c r="A124" s="28">
        <v>122</v>
      </c>
      <c r="B124" s="29">
        <v>500800</v>
      </c>
      <c r="C124" s="28" t="s">
        <v>172</v>
      </c>
      <c r="D124" s="28"/>
      <c r="E124" s="28">
        <v>20181009</v>
      </c>
      <c r="F124" s="28"/>
      <c r="G124" s="29" t="s">
        <v>51</v>
      </c>
      <c r="H124" s="30" t="s">
        <v>121</v>
      </c>
      <c r="I124" s="28" t="s">
        <v>122</v>
      </c>
      <c r="J124" s="28" t="s">
        <v>58</v>
      </c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28">
        <f t="shared" si="1"/>
        <v>0</v>
      </c>
      <c r="AN124" s="28"/>
    </row>
    <row r="125" spans="1:40">
      <c r="A125" s="28">
        <v>123</v>
      </c>
      <c r="B125" s="29">
        <v>501228</v>
      </c>
      <c r="C125" s="28" t="s">
        <v>219</v>
      </c>
      <c r="D125" s="28"/>
      <c r="E125" s="28">
        <v>20240702</v>
      </c>
      <c r="F125" s="28"/>
      <c r="G125" s="29" t="s">
        <v>51</v>
      </c>
      <c r="H125" s="30" t="s">
        <v>121</v>
      </c>
      <c r="I125" s="28" t="s">
        <v>122</v>
      </c>
      <c r="J125" s="28" t="s">
        <v>54</v>
      </c>
      <c r="K125" s="47"/>
      <c r="L125" s="47"/>
      <c r="M125" s="47"/>
      <c r="N125" s="47"/>
      <c r="O125" s="47"/>
      <c r="P125" s="47"/>
      <c r="Q125" s="47"/>
      <c r="R125" s="47"/>
      <c r="S125" s="47">
        <v>2</v>
      </c>
      <c r="T125" s="47">
        <v>2</v>
      </c>
      <c r="U125" s="47">
        <v>2</v>
      </c>
      <c r="V125" s="47">
        <v>8</v>
      </c>
      <c r="W125" s="47">
        <v>8</v>
      </c>
      <c r="X125" s="47">
        <v>5</v>
      </c>
      <c r="Y125" s="47"/>
      <c r="Z125" s="47"/>
      <c r="AA125" s="47"/>
      <c r="AB125" s="47">
        <v>2</v>
      </c>
      <c r="AC125" s="47">
        <v>2</v>
      </c>
      <c r="AD125" s="47">
        <v>2</v>
      </c>
      <c r="AE125" s="47">
        <v>5</v>
      </c>
      <c r="AF125" s="47"/>
      <c r="AG125" s="47"/>
      <c r="AH125" s="47"/>
      <c r="AI125" s="47"/>
      <c r="AJ125" s="47"/>
      <c r="AK125" s="47"/>
      <c r="AL125" s="47">
        <v>1</v>
      </c>
      <c r="AM125" s="28">
        <f t="shared" si="1"/>
        <v>39</v>
      </c>
      <c r="AN125" s="28"/>
    </row>
    <row r="126" spans="1:40">
      <c r="A126" s="28">
        <v>124</v>
      </c>
      <c r="B126" s="29">
        <v>501239</v>
      </c>
      <c r="C126" s="28" t="s">
        <v>224</v>
      </c>
      <c r="D126" s="28"/>
      <c r="E126" s="28">
        <v>20240827</v>
      </c>
      <c r="F126" s="28"/>
      <c r="G126" s="29" t="s">
        <v>51</v>
      </c>
      <c r="H126" s="30" t="s">
        <v>121</v>
      </c>
      <c r="I126" s="28" t="s">
        <v>122</v>
      </c>
      <c r="J126" s="28" t="s">
        <v>54</v>
      </c>
      <c r="K126" s="47"/>
      <c r="L126" s="47">
        <v>2</v>
      </c>
      <c r="M126" s="47">
        <v>2</v>
      </c>
      <c r="N126" s="47">
        <v>2</v>
      </c>
      <c r="O126" s="47"/>
      <c r="P126" s="47">
        <v>2</v>
      </c>
      <c r="Q126" s="47">
        <v>5</v>
      </c>
      <c r="R126" s="47"/>
      <c r="S126" s="47">
        <v>2</v>
      </c>
      <c r="T126" s="47">
        <v>2</v>
      </c>
      <c r="U126" s="47">
        <v>2</v>
      </c>
      <c r="V126" s="47"/>
      <c r="W126" s="47"/>
      <c r="X126" s="47">
        <v>5</v>
      </c>
      <c r="Y126" s="47"/>
      <c r="Z126" s="47"/>
      <c r="AA126" s="47">
        <v>8</v>
      </c>
      <c r="AB126" s="47"/>
      <c r="AC126" s="47"/>
      <c r="AD126" s="47"/>
      <c r="AE126" s="47"/>
      <c r="AF126" s="47"/>
      <c r="AG126" s="47">
        <v>2</v>
      </c>
      <c r="AH126" s="47">
        <v>2</v>
      </c>
      <c r="AI126" s="47">
        <v>2</v>
      </c>
      <c r="AJ126" s="47">
        <v>2</v>
      </c>
      <c r="AK126" s="47">
        <v>2</v>
      </c>
      <c r="AL126" s="47">
        <v>5</v>
      </c>
      <c r="AM126" s="28">
        <f t="shared" si="1"/>
        <v>47</v>
      </c>
      <c r="AN126" s="28"/>
    </row>
    <row r="127" spans="1:40">
      <c r="A127" s="28">
        <v>125</v>
      </c>
      <c r="B127" s="29">
        <v>501273</v>
      </c>
      <c r="C127" s="28" t="s">
        <v>246</v>
      </c>
      <c r="D127" s="28"/>
      <c r="E127" s="28">
        <v>20250423</v>
      </c>
      <c r="F127" s="28"/>
      <c r="G127" s="29" t="s">
        <v>51</v>
      </c>
      <c r="H127" s="30" t="s">
        <v>121</v>
      </c>
      <c r="I127" s="28" t="s">
        <v>122</v>
      </c>
      <c r="J127" s="28" t="s">
        <v>54</v>
      </c>
      <c r="K127" s="47"/>
      <c r="L127" s="47">
        <v>2</v>
      </c>
      <c r="M127" s="47">
        <v>2</v>
      </c>
      <c r="N127" s="47"/>
      <c r="O127" s="47"/>
      <c r="P127" s="47"/>
      <c r="Q127" s="47">
        <v>5</v>
      </c>
      <c r="R127" s="47"/>
      <c r="S127" s="47"/>
      <c r="T127" s="47">
        <v>2</v>
      </c>
      <c r="U127" s="47">
        <v>2</v>
      </c>
      <c r="V127" s="47"/>
      <c r="W127" s="47"/>
      <c r="X127" s="47"/>
      <c r="Y127" s="47"/>
      <c r="Z127" s="47"/>
      <c r="AA127" s="47"/>
      <c r="AB127" s="47"/>
      <c r="AC127" s="47"/>
      <c r="AD127" s="47"/>
      <c r="AE127" s="47">
        <v>5</v>
      </c>
      <c r="AF127" s="47"/>
      <c r="AG127" s="47">
        <v>2</v>
      </c>
      <c r="AH127" s="47"/>
      <c r="AI127" s="47">
        <v>1</v>
      </c>
      <c r="AJ127" s="47"/>
      <c r="AK127" s="47">
        <v>2</v>
      </c>
      <c r="AL127" s="47">
        <v>5</v>
      </c>
      <c r="AM127" s="28">
        <f t="shared" si="1"/>
        <v>28</v>
      </c>
      <c r="AN127" s="28"/>
    </row>
    <row r="128" spans="1:40">
      <c r="A128" s="28">
        <v>126</v>
      </c>
      <c r="B128" s="29">
        <v>500314</v>
      </c>
      <c r="C128" s="28" t="s">
        <v>113</v>
      </c>
      <c r="D128" s="28"/>
      <c r="E128" s="28">
        <v>20160526</v>
      </c>
      <c r="F128" s="28"/>
      <c r="G128" s="29" t="s">
        <v>51</v>
      </c>
      <c r="H128" s="30" t="s">
        <v>114</v>
      </c>
      <c r="I128" s="28" t="s">
        <v>115</v>
      </c>
      <c r="J128" s="28" t="s">
        <v>58</v>
      </c>
      <c r="K128" s="47"/>
      <c r="L128" s="47">
        <v>0.5</v>
      </c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>
        <v>2</v>
      </c>
      <c r="AF128" s="47"/>
      <c r="AG128" s="47"/>
      <c r="AH128" s="47"/>
      <c r="AI128" s="47"/>
      <c r="AJ128" s="47"/>
      <c r="AK128" s="47"/>
      <c r="AL128" s="47"/>
      <c r="AM128" s="28">
        <f t="shared" si="1"/>
        <v>2.5</v>
      </c>
      <c r="AN128" s="28"/>
    </row>
    <row r="129" spans="1:40">
      <c r="A129" s="28">
        <v>127</v>
      </c>
      <c r="B129" s="29">
        <v>500316</v>
      </c>
      <c r="C129" s="28" t="s">
        <v>116</v>
      </c>
      <c r="D129" s="28"/>
      <c r="E129" s="28">
        <v>20160602</v>
      </c>
      <c r="F129" s="28"/>
      <c r="G129" s="29" t="s">
        <v>51</v>
      </c>
      <c r="H129" s="30" t="s">
        <v>114</v>
      </c>
      <c r="I129" s="28" t="s">
        <v>115</v>
      </c>
      <c r="J129" s="28" t="s">
        <v>58</v>
      </c>
      <c r="K129" s="47"/>
      <c r="L129" s="47">
        <v>2</v>
      </c>
      <c r="M129" s="47"/>
      <c r="N129" s="47"/>
      <c r="O129" s="47"/>
      <c r="P129" s="47"/>
      <c r="Q129" s="47">
        <v>5</v>
      </c>
      <c r="R129" s="47">
        <v>2</v>
      </c>
      <c r="S129" s="47">
        <v>0.5</v>
      </c>
      <c r="T129" s="47">
        <v>2</v>
      </c>
      <c r="U129" s="47">
        <v>2</v>
      </c>
      <c r="V129" s="47"/>
      <c r="W129" s="47"/>
      <c r="X129" s="47">
        <v>5</v>
      </c>
      <c r="Y129" s="47"/>
      <c r="Z129" s="47">
        <v>8</v>
      </c>
      <c r="AA129" s="47">
        <v>8</v>
      </c>
      <c r="AB129" s="47"/>
      <c r="AC129" s="47"/>
      <c r="AD129" s="47"/>
      <c r="AE129" s="47">
        <v>2</v>
      </c>
      <c r="AF129" s="47"/>
      <c r="AG129" s="47">
        <v>2</v>
      </c>
      <c r="AH129" s="47"/>
      <c r="AI129" s="47"/>
      <c r="AJ129" s="47"/>
      <c r="AK129" s="47"/>
      <c r="AL129" s="47"/>
      <c r="AM129" s="28">
        <f t="shared" si="1"/>
        <v>38.5</v>
      </c>
      <c r="AN129" s="28"/>
    </row>
    <row r="130" spans="1:40">
      <c r="A130" s="28">
        <v>128</v>
      </c>
      <c r="B130" s="29">
        <v>500317</v>
      </c>
      <c r="C130" s="28" t="s">
        <v>117</v>
      </c>
      <c r="D130" s="28"/>
      <c r="E130" s="28">
        <v>20160602</v>
      </c>
      <c r="F130" s="28"/>
      <c r="G130" s="29" t="s">
        <v>51</v>
      </c>
      <c r="H130" s="30" t="s">
        <v>114</v>
      </c>
      <c r="I130" s="28" t="s">
        <v>115</v>
      </c>
      <c r="J130" s="28" t="s">
        <v>58</v>
      </c>
      <c r="K130" s="47">
        <v>2</v>
      </c>
      <c r="L130" s="47"/>
      <c r="M130" s="47">
        <v>2</v>
      </c>
      <c r="N130" s="47"/>
      <c r="O130" s="47"/>
      <c r="P130" s="47"/>
      <c r="Q130" s="47">
        <v>2</v>
      </c>
      <c r="R130" s="47">
        <v>1.5</v>
      </c>
      <c r="S130" s="47"/>
      <c r="T130" s="47"/>
      <c r="U130" s="47"/>
      <c r="V130" s="47">
        <v>7</v>
      </c>
      <c r="W130" s="47">
        <v>7</v>
      </c>
      <c r="X130" s="47"/>
      <c r="Y130" s="47"/>
      <c r="Z130" s="47"/>
      <c r="AA130" s="47">
        <v>7</v>
      </c>
      <c r="AB130" s="47"/>
      <c r="AC130" s="47"/>
      <c r="AD130" s="47"/>
      <c r="AE130" s="47"/>
      <c r="AF130" s="47"/>
      <c r="AG130" s="47"/>
      <c r="AH130" s="47">
        <v>1.5</v>
      </c>
      <c r="AI130" s="47">
        <v>2</v>
      </c>
      <c r="AJ130" s="47">
        <v>2</v>
      </c>
      <c r="AK130" s="47">
        <v>2</v>
      </c>
      <c r="AL130" s="47">
        <v>2</v>
      </c>
      <c r="AM130" s="28">
        <f t="shared" si="1"/>
        <v>38</v>
      </c>
      <c r="AN130" s="28"/>
    </row>
    <row r="131" spans="1:40">
      <c r="A131" s="28">
        <v>129</v>
      </c>
      <c r="B131" s="29">
        <v>500694</v>
      </c>
      <c r="C131" s="28" t="s">
        <v>160</v>
      </c>
      <c r="D131" s="28"/>
      <c r="E131" s="28">
        <v>20180227</v>
      </c>
      <c r="F131" s="28"/>
      <c r="G131" s="29" t="s">
        <v>51</v>
      </c>
      <c r="H131" s="30" t="s">
        <v>114</v>
      </c>
      <c r="I131" s="28" t="s">
        <v>115</v>
      </c>
      <c r="J131" s="28" t="s">
        <v>58</v>
      </c>
      <c r="K131" s="47">
        <v>2</v>
      </c>
      <c r="L131" s="47"/>
      <c r="M131" s="47"/>
      <c r="N131" s="47">
        <v>1</v>
      </c>
      <c r="O131" s="47"/>
      <c r="P131" s="47"/>
      <c r="Q131" s="47"/>
      <c r="R131" s="47"/>
      <c r="S131" s="47">
        <v>2</v>
      </c>
      <c r="T131" s="47"/>
      <c r="U131" s="47"/>
      <c r="V131" s="47">
        <v>7</v>
      </c>
      <c r="W131" s="47">
        <v>7</v>
      </c>
      <c r="X131" s="47">
        <v>2</v>
      </c>
      <c r="Y131" s="47"/>
      <c r="Z131" s="47">
        <v>7</v>
      </c>
      <c r="AA131" s="47"/>
      <c r="AB131" s="47">
        <v>2</v>
      </c>
      <c r="AC131" s="47"/>
      <c r="AD131" s="47"/>
      <c r="AE131" s="47"/>
      <c r="AF131" s="47"/>
      <c r="AG131" s="47">
        <v>2</v>
      </c>
      <c r="AH131" s="47"/>
      <c r="AI131" s="47"/>
      <c r="AJ131" s="47">
        <v>1.5</v>
      </c>
      <c r="AK131" s="47">
        <v>2</v>
      </c>
      <c r="AL131" s="47">
        <v>1</v>
      </c>
      <c r="AM131" s="28">
        <f t="shared" ref="AM131:AM194" si="2">SUM(K131:AL131)</f>
        <v>36.5</v>
      </c>
      <c r="AN131" s="28"/>
    </row>
    <row r="132" spans="1:40">
      <c r="A132" s="28">
        <v>130</v>
      </c>
      <c r="B132" s="29">
        <v>500939</v>
      </c>
      <c r="C132" s="28" t="s">
        <v>185</v>
      </c>
      <c r="D132" s="28"/>
      <c r="E132" s="28">
        <v>20191115</v>
      </c>
      <c r="F132" s="28"/>
      <c r="G132" s="29" t="s">
        <v>51</v>
      </c>
      <c r="H132" s="30" t="s">
        <v>114</v>
      </c>
      <c r="I132" s="28" t="s">
        <v>115</v>
      </c>
      <c r="J132" s="28" t="s">
        <v>58</v>
      </c>
      <c r="K132" s="47"/>
      <c r="L132" s="47"/>
      <c r="M132" s="47"/>
      <c r="N132" s="47"/>
      <c r="O132" s="47"/>
      <c r="P132" s="47"/>
      <c r="Q132" s="47">
        <v>5</v>
      </c>
      <c r="R132" s="47">
        <v>2</v>
      </c>
      <c r="S132" s="47"/>
      <c r="T132" s="47">
        <v>0.5</v>
      </c>
      <c r="U132" s="47"/>
      <c r="V132" s="47">
        <v>8</v>
      </c>
      <c r="W132" s="47">
        <v>8</v>
      </c>
      <c r="X132" s="47">
        <v>3.5</v>
      </c>
      <c r="Y132" s="47"/>
      <c r="Z132" s="47">
        <v>8</v>
      </c>
      <c r="AA132" s="47"/>
      <c r="AB132" s="47"/>
      <c r="AC132" s="47"/>
      <c r="AD132" s="47"/>
      <c r="AE132" s="47">
        <v>1.5</v>
      </c>
      <c r="AF132" s="47">
        <v>2</v>
      </c>
      <c r="AG132" s="47">
        <v>1.5</v>
      </c>
      <c r="AH132" s="47"/>
      <c r="AI132" s="47"/>
      <c r="AJ132" s="47">
        <v>2</v>
      </c>
      <c r="AK132" s="47">
        <v>2</v>
      </c>
      <c r="AL132" s="47">
        <v>1.5</v>
      </c>
      <c r="AM132" s="28">
        <f t="shared" si="2"/>
        <v>45.5</v>
      </c>
      <c r="AN132" s="28"/>
    </row>
    <row r="133" spans="1:40">
      <c r="A133" s="28">
        <v>131</v>
      </c>
      <c r="B133" s="29">
        <v>500978</v>
      </c>
      <c r="C133" s="28" t="s">
        <v>189</v>
      </c>
      <c r="D133" s="28"/>
      <c r="E133" s="28">
        <v>20200303</v>
      </c>
      <c r="F133" s="28"/>
      <c r="G133" s="29" t="s">
        <v>51</v>
      </c>
      <c r="H133" s="30" t="s">
        <v>114</v>
      </c>
      <c r="I133" s="28" t="s">
        <v>115</v>
      </c>
      <c r="J133" s="28" t="s">
        <v>58</v>
      </c>
      <c r="K133" s="47"/>
      <c r="L133" s="47">
        <v>2</v>
      </c>
      <c r="M133" s="47">
        <v>2</v>
      </c>
      <c r="N133" s="47">
        <v>2</v>
      </c>
      <c r="O133" s="47"/>
      <c r="P133" s="47">
        <v>1.5</v>
      </c>
      <c r="Q133" s="47">
        <v>2.5</v>
      </c>
      <c r="R133" s="47"/>
      <c r="S133" s="47">
        <v>2</v>
      </c>
      <c r="T133" s="47">
        <v>2</v>
      </c>
      <c r="U133" s="47">
        <v>1</v>
      </c>
      <c r="V133" s="47">
        <v>8</v>
      </c>
      <c r="W133" s="47">
        <v>8</v>
      </c>
      <c r="X133" s="47">
        <v>3.5</v>
      </c>
      <c r="Y133" s="47"/>
      <c r="Z133" s="47"/>
      <c r="AA133" s="47"/>
      <c r="AB133" s="47"/>
      <c r="AC133" s="47"/>
      <c r="AD133" s="47"/>
      <c r="AE133" s="47">
        <v>2</v>
      </c>
      <c r="AF133" s="47"/>
      <c r="AG133" s="47"/>
      <c r="AH133" s="47"/>
      <c r="AI133" s="47"/>
      <c r="AJ133" s="47"/>
      <c r="AK133" s="47"/>
      <c r="AL133" s="47"/>
      <c r="AM133" s="28">
        <f t="shared" si="2"/>
        <v>36.5</v>
      </c>
      <c r="AN133" s="28"/>
    </row>
    <row r="134" spans="1:40">
      <c r="A134" s="28">
        <v>132</v>
      </c>
      <c r="B134" s="29">
        <v>501166</v>
      </c>
      <c r="C134" s="28" t="s">
        <v>205</v>
      </c>
      <c r="D134" s="28"/>
      <c r="E134" s="28">
        <v>20221122</v>
      </c>
      <c r="F134" s="28"/>
      <c r="G134" s="29" t="s">
        <v>51</v>
      </c>
      <c r="H134" s="30" t="s">
        <v>114</v>
      </c>
      <c r="I134" s="28" t="s">
        <v>115</v>
      </c>
      <c r="J134" s="28" t="s">
        <v>58</v>
      </c>
      <c r="K134" s="47"/>
      <c r="L134" s="47">
        <v>2</v>
      </c>
      <c r="M134" s="47">
        <v>0.5</v>
      </c>
      <c r="N134" s="47"/>
      <c r="O134" s="47"/>
      <c r="P134" s="47">
        <v>2</v>
      </c>
      <c r="Q134" s="47"/>
      <c r="R134" s="47">
        <v>2</v>
      </c>
      <c r="S134" s="47">
        <v>2</v>
      </c>
      <c r="T134" s="47"/>
      <c r="U134" s="47">
        <v>2</v>
      </c>
      <c r="V134" s="47"/>
      <c r="W134" s="47">
        <v>7</v>
      </c>
      <c r="X134" s="47"/>
      <c r="Y134" s="47"/>
      <c r="Z134" s="47">
        <v>7</v>
      </c>
      <c r="AA134" s="47">
        <v>7</v>
      </c>
      <c r="AB134" s="47">
        <v>2</v>
      </c>
      <c r="AC134" s="47"/>
      <c r="AD134" s="47">
        <v>2</v>
      </c>
      <c r="AE134" s="47"/>
      <c r="AF134" s="47">
        <v>2</v>
      </c>
      <c r="AG134" s="47">
        <v>1.5</v>
      </c>
      <c r="AH134" s="47">
        <v>2</v>
      </c>
      <c r="AI134" s="47"/>
      <c r="AJ134" s="47"/>
      <c r="AK134" s="47">
        <v>2</v>
      </c>
      <c r="AL134" s="47"/>
      <c r="AM134" s="28">
        <f t="shared" si="2"/>
        <v>43</v>
      </c>
      <c r="AN134" s="28"/>
    </row>
    <row r="135" spans="1:40">
      <c r="A135" s="28">
        <v>133</v>
      </c>
      <c r="B135" s="29">
        <v>501247</v>
      </c>
      <c r="C135" s="28" t="s">
        <v>229</v>
      </c>
      <c r="D135" s="28"/>
      <c r="E135" s="28">
        <v>20240913</v>
      </c>
      <c r="F135" s="28"/>
      <c r="G135" s="29" t="s">
        <v>51</v>
      </c>
      <c r="H135" s="30" t="s">
        <v>114</v>
      </c>
      <c r="I135" s="28" t="s">
        <v>115</v>
      </c>
      <c r="J135" s="28" t="s">
        <v>58</v>
      </c>
      <c r="K135" s="47"/>
      <c r="L135" s="47">
        <v>0.5</v>
      </c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>
        <v>7</v>
      </c>
      <c r="AB135" s="47"/>
      <c r="AC135" s="47"/>
      <c r="AD135" s="47"/>
      <c r="AE135" s="47"/>
      <c r="AF135" s="47"/>
      <c r="AG135" s="47"/>
      <c r="AH135" s="47">
        <v>2</v>
      </c>
      <c r="AI135" s="47">
        <v>2</v>
      </c>
      <c r="AJ135" s="47">
        <v>2</v>
      </c>
      <c r="AK135" s="47"/>
      <c r="AL135" s="47">
        <v>2</v>
      </c>
      <c r="AM135" s="28">
        <f t="shared" si="2"/>
        <v>15.5</v>
      </c>
      <c r="AN135" s="28"/>
    </row>
    <row r="136" spans="1:40">
      <c r="A136" s="28">
        <v>134</v>
      </c>
      <c r="B136" s="29">
        <v>500012</v>
      </c>
      <c r="C136" s="28" t="s">
        <v>64</v>
      </c>
      <c r="D136" s="28"/>
      <c r="E136" s="28">
        <v>20141001</v>
      </c>
      <c r="F136" s="28"/>
      <c r="G136" s="29" t="s">
        <v>51</v>
      </c>
      <c r="H136" s="30" t="s">
        <v>65</v>
      </c>
      <c r="I136" s="28" t="s">
        <v>66</v>
      </c>
      <c r="J136" s="28" t="s">
        <v>54</v>
      </c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28">
        <f t="shared" si="2"/>
        <v>0</v>
      </c>
      <c r="AN136" s="28"/>
    </row>
    <row r="137" spans="1:40">
      <c r="A137" s="28">
        <v>135</v>
      </c>
      <c r="B137" s="29">
        <v>500073</v>
      </c>
      <c r="C137" s="28" t="s">
        <v>80</v>
      </c>
      <c r="D137" s="28"/>
      <c r="E137" s="28">
        <v>20150610</v>
      </c>
      <c r="F137" s="28"/>
      <c r="G137" s="29" t="s">
        <v>51</v>
      </c>
      <c r="H137" s="30" t="s">
        <v>65</v>
      </c>
      <c r="I137" s="28" t="s">
        <v>66</v>
      </c>
      <c r="J137" s="28" t="s">
        <v>54</v>
      </c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>
        <v>2</v>
      </c>
      <c r="AC137" s="47"/>
      <c r="AD137" s="47"/>
      <c r="AE137" s="47">
        <v>4</v>
      </c>
      <c r="AF137" s="47"/>
      <c r="AG137" s="47"/>
      <c r="AH137" s="47"/>
      <c r="AI137" s="47"/>
      <c r="AJ137" s="47"/>
      <c r="AK137" s="47"/>
      <c r="AL137" s="47"/>
      <c r="AM137" s="28">
        <f t="shared" si="2"/>
        <v>6</v>
      </c>
      <c r="AN137" s="28"/>
    </row>
    <row r="138" spans="1:40">
      <c r="A138" s="28">
        <v>136</v>
      </c>
      <c r="B138" s="29">
        <v>500192</v>
      </c>
      <c r="C138" s="28" t="s">
        <v>93</v>
      </c>
      <c r="D138" s="28"/>
      <c r="E138" s="28">
        <v>20151105</v>
      </c>
      <c r="F138" s="28"/>
      <c r="G138" s="29" t="s">
        <v>51</v>
      </c>
      <c r="H138" s="30" t="s">
        <v>65</v>
      </c>
      <c r="I138" s="28" t="s">
        <v>66</v>
      </c>
      <c r="J138" s="28" t="s">
        <v>54</v>
      </c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>
        <v>4</v>
      </c>
      <c r="AF138" s="47"/>
      <c r="AG138" s="47"/>
      <c r="AH138" s="47"/>
      <c r="AI138" s="47"/>
      <c r="AJ138" s="47"/>
      <c r="AK138" s="47"/>
      <c r="AL138" s="47"/>
      <c r="AM138" s="28">
        <f t="shared" si="2"/>
        <v>4</v>
      </c>
      <c r="AN138" s="28"/>
    </row>
    <row r="139" spans="1:40">
      <c r="A139" s="28">
        <v>137</v>
      </c>
      <c r="B139" s="29">
        <v>500331</v>
      </c>
      <c r="C139" s="28" t="s">
        <v>118</v>
      </c>
      <c r="D139" s="28"/>
      <c r="E139" s="28">
        <v>20160627</v>
      </c>
      <c r="F139" s="28"/>
      <c r="G139" s="29" t="s">
        <v>51</v>
      </c>
      <c r="H139" s="30" t="s">
        <v>65</v>
      </c>
      <c r="I139" s="28" t="s">
        <v>66</v>
      </c>
      <c r="J139" s="28" t="s">
        <v>54</v>
      </c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>
        <v>2</v>
      </c>
      <c r="AC139" s="47"/>
      <c r="AD139" s="47"/>
      <c r="AE139" s="47">
        <v>4</v>
      </c>
      <c r="AF139" s="47"/>
      <c r="AG139" s="47"/>
      <c r="AH139" s="47"/>
      <c r="AI139" s="47"/>
      <c r="AJ139" s="47"/>
      <c r="AK139" s="47"/>
      <c r="AL139" s="47"/>
      <c r="AM139" s="28">
        <f t="shared" si="2"/>
        <v>6</v>
      </c>
      <c r="AN139" s="28"/>
    </row>
    <row r="140" spans="1:40">
      <c r="A140" s="28">
        <v>138</v>
      </c>
      <c r="B140" s="29">
        <v>500529</v>
      </c>
      <c r="C140" s="28" t="s">
        <v>149</v>
      </c>
      <c r="D140" s="28"/>
      <c r="E140" s="28">
        <v>20170502</v>
      </c>
      <c r="F140" s="28"/>
      <c r="G140" s="29" t="s">
        <v>51</v>
      </c>
      <c r="H140" s="30" t="s">
        <v>65</v>
      </c>
      <c r="I140" s="28" t="s">
        <v>66</v>
      </c>
      <c r="J140" s="28" t="s">
        <v>54</v>
      </c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>
        <v>2</v>
      </c>
      <c r="AC140" s="47"/>
      <c r="AD140" s="47"/>
      <c r="AE140" s="47">
        <v>4</v>
      </c>
      <c r="AF140" s="47"/>
      <c r="AG140" s="47"/>
      <c r="AH140" s="47"/>
      <c r="AI140" s="47"/>
      <c r="AJ140" s="47"/>
      <c r="AK140" s="47"/>
      <c r="AL140" s="47"/>
      <c r="AM140" s="28">
        <f t="shared" si="2"/>
        <v>6</v>
      </c>
      <c r="AN140" s="28"/>
    </row>
    <row r="141" spans="1:40">
      <c r="A141" s="28">
        <v>139</v>
      </c>
      <c r="B141" s="29">
        <v>500716</v>
      </c>
      <c r="C141" s="28" t="s">
        <v>162</v>
      </c>
      <c r="D141" s="28"/>
      <c r="E141" s="28">
        <v>20180328</v>
      </c>
      <c r="F141" s="28"/>
      <c r="G141" s="29" t="s">
        <v>51</v>
      </c>
      <c r="H141" s="30" t="s">
        <v>65</v>
      </c>
      <c r="I141" s="28" t="s">
        <v>66</v>
      </c>
      <c r="J141" s="28" t="s">
        <v>54</v>
      </c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>
        <v>2</v>
      </c>
      <c r="AC141" s="47"/>
      <c r="AD141" s="47"/>
      <c r="AE141" s="47">
        <v>4</v>
      </c>
      <c r="AF141" s="47"/>
      <c r="AG141" s="47"/>
      <c r="AH141" s="47"/>
      <c r="AI141" s="47"/>
      <c r="AJ141" s="47"/>
      <c r="AK141" s="47"/>
      <c r="AL141" s="47"/>
      <c r="AM141" s="28">
        <f t="shared" si="2"/>
        <v>6</v>
      </c>
      <c r="AN141" s="28"/>
    </row>
    <row r="142" spans="1:40">
      <c r="A142" s="28">
        <v>140</v>
      </c>
      <c r="B142" s="29">
        <v>500040</v>
      </c>
      <c r="C142" s="28" t="s">
        <v>70</v>
      </c>
      <c r="D142" s="28"/>
      <c r="E142" s="28">
        <v>20150224</v>
      </c>
      <c r="F142" s="28"/>
      <c r="G142" s="29" t="s">
        <v>51</v>
      </c>
      <c r="H142" s="30" t="s">
        <v>71</v>
      </c>
      <c r="I142" s="28" t="s">
        <v>72</v>
      </c>
      <c r="J142" s="28" t="s">
        <v>54</v>
      </c>
      <c r="K142" s="47"/>
      <c r="L142" s="47">
        <v>2</v>
      </c>
      <c r="M142" s="47">
        <v>2</v>
      </c>
      <c r="N142" s="47">
        <v>2</v>
      </c>
      <c r="O142" s="47"/>
      <c r="P142" s="47">
        <v>2</v>
      </c>
      <c r="Q142" s="47">
        <v>1</v>
      </c>
      <c r="R142" s="47"/>
      <c r="S142" s="47">
        <v>2</v>
      </c>
      <c r="T142" s="47">
        <v>2</v>
      </c>
      <c r="U142" s="47"/>
      <c r="V142" s="47">
        <v>8</v>
      </c>
      <c r="W142" s="47">
        <v>8</v>
      </c>
      <c r="X142" s="47"/>
      <c r="Y142" s="47"/>
      <c r="Z142" s="47">
        <v>8</v>
      </c>
      <c r="AA142" s="47">
        <v>8</v>
      </c>
      <c r="AB142" s="47">
        <v>2</v>
      </c>
      <c r="AC142" s="47"/>
      <c r="AD142" s="47"/>
      <c r="AE142" s="47">
        <v>4</v>
      </c>
      <c r="AF142" s="47"/>
      <c r="AG142" s="47">
        <v>2</v>
      </c>
      <c r="AH142" s="47">
        <v>2</v>
      </c>
      <c r="AI142" s="47">
        <v>1.5</v>
      </c>
      <c r="AJ142" s="47">
        <v>1.5</v>
      </c>
      <c r="AK142" s="47">
        <v>1</v>
      </c>
      <c r="AL142" s="47"/>
      <c r="AM142" s="28">
        <f t="shared" si="2"/>
        <v>59</v>
      </c>
      <c r="AN142" s="28"/>
    </row>
    <row r="143" spans="1:40">
      <c r="A143" s="28">
        <v>141</v>
      </c>
      <c r="B143" s="29">
        <v>500076</v>
      </c>
      <c r="C143" s="28" t="s">
        <v>81</v>
      </c>
      <c r="D143" s="28"/>
      <c r="E143" s="28">
        <v>20150615</v>
      </c>
      <c r="F143" s="28"/>
      <c r="G143" s="29" t="s">
        <v>51</v>
      </c>
      <c r="H143" s="30" t="s">
        <v>71</v>
      </c>
      <c r="I143" s="28" t="s">
        <v>72</v>
      </c>
      <c r="J143" s="28" t="s">
        <v>54</v>
      </c>
      <c r="K143" s="47">
        <v>1.5</v>
      </c>
      <c r="L143" s="47">
        <v>1.5</v>
      </c>
      <c r="M143" s="47">
        <v>1.5</v>
      </c>
      <c r="N143" s="47">
        <v>1.5</v>
      </c>
      <c r="O143" s="47"/>
      <c r="P143" s="47">
        <v>1.5</v>
      </c>
      <c r="Q143" s="47">
        <v>1.5</v>
      </c>
      <c r="R143" s="47">
        <v>1.5</v>
      </c>
      <c r="S143" s="47">
        <v>2</v>
      </c>
      <c r="T143" s="47"/>
      <c r="U143" s="47">
        <v>2</v>
      </c>
      <c r="V143" s="47"/>
      <c r="W143" s="47">
        <v>7</v>
      </c>
      <c r="X143" s="47"/>
      <c r="Y143" s="47"/>
      <c r="Z143" s="47">
        <v>7</v>
      </c>
      <c r="AA143" s="47">
        <v>7</v>
      </c>
      <c r="AB143" s="47">
        <v>2</v>
      </c>
      <c r="AC143" s="47"/>
      <c r="AD143" s="47">
        <v>2</v>
      </c>
      <c r="AE143" s="47">
        <v>1.5</v>
      </c>
      <c r="AF143" s="47">
        <v>2</v>
      </c>
      <c r="AG143" s="47"/>
      <c r="AH143" s="47">
        <v>1.5</v>
      </c>
      <c r="AI143" s="47">
        <v>1.5</v>
      </c>
      <c r="AJ143" s="47"/>
      <c r="AK143" s="47">
        <v>1.5</v>
      </c>
      <c r="AL143" s="47"/>
      <c r="AM143" s="28">
        <f t="shared" si="2"/>
        <v>47.5</v>
      </c>
      <c r="AN143" s="28"/>
    </row>
    <row r="144" spans="1:40">
      <c r="A144" s="28">
        <v>142</v>
      </c>
      <c r="B144" s="29">
        <v>500115</v>
      </c>
      <c r="C144" s="28" t="s">
        <v>85</v>
      </c>
      <c r="D144" s="28"/>
      <c r="E144" s="28">
        <v>20150724</v>
      </c>
      <c r="F144" s="28"/>
      <c r="G144" s="29" t="s">
        <v>51</v>
      </c>
      <c r="H144" s="30" t="s">
        <v>71</v>
      </c>
      <c r="I144" s="28" t="s">
        <v>72</v>
      </c>
      <c r="J144" s="28" t="s">
        <v>54</v>
      </c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>
        <v>7</v>
      </c>
      <c r="W144" s="47">
        <v>7</v>
      </c>
      <c r="X144" s="47"/>
      <c r="Y144" s="47"/>
      <c r="Z144" s="47">
        <v>7</v>
      </c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28">
        <f t="shared" si="2"/>
        <v>21</v>
      </c>
      <c r="AN144" s="28"/>
    </row>
    <row r="145" spans="1:40">
      <c r="A145" s="28">
        <v>143</v>
      </c>
      <c r="B145" s="29">
        <v>500156</v>
      </c>
      <c r="C145" s="28" t="s">
        <v>88</v>
      </c>
      <c r="D145" s="28"/>
      <c r="E145" s="28">
        <v>20150901</v>
      </c>
      <c r="F145" s="28"/>
      <c r="G145" s="29" t="s">
        <v>51</v>
      </c>
      <c r="H145" s="30" t="s">
        <v>71</v>
      </c>
      <c r="I145" s="28" t="s">
        <v>72</v>
      </c>
      <c r="J145" s="28" t="s">
        <v>54</v>
      </c>
      <c r="K145" s="47"/>
      <c r="L145" s="47"/>
      <c r="M145" s="47">
        <v>1.5</v>
      </c>
      <c r="N145" s="47"/>
      <c r="O145" s="47"/>
      <c r="P145" s="47"/>
      <c r="Q145" s="47"/>
      <c r="R145" s="47"/>
      <c r="S145" s="47">
        <v>2</v>
      </c>
      <c r="T145" s="47">
        <v>2</v>
      </c>
      <c r="U145" s="47">
        <v>2</v>
      </c>
      <c r="V145" s="47">
        <v>7</v>
      </c>
      <c r="W145" s="47">
        <v>7</v>
      </c>
      <c r="X145" s="47"/>
      <c r="Y145" s="47"/>
      <c r="Z145" s="47">
        <v>7</v>
      </c>
      <c r="AA145" s="47">
        <v>7</v>
      </c>
      <c r="AB145" s="47">
        <v>2</v>
      </c>
      <c r="AC145" s="47">
        <v>2</v>
      </c>
      <c r="AD145" s="47">
        <v>2</v>
      </c>
      <c r="AE145" s="47">
        <v>1.5</v>
      </c>
      <c r="AF145" s="47"/>
      <c r="AG145" s="47"/>
      <c r="AH145" s="47"/>
      <c r="AI145" s="47"/>
      <c r="AJ145" s="47"/>
      <c r="AK145" s="47"/>
      <c r="AL145" s="47"/>
      <c r="AM145" s="28">
        <f t="shared" si="2"/>
        <v>43</v>
      </c>
      <c r="AN145" s="28"/>
    </row>
    <row r="146" spans="1:40">
      <c r="A146" s="28">
        <v>144</v>
      </c>
      <c r="B146" s="29">
        <v>500538</v>
      </c>
      <c r="C146" s="28" t="s">
        <v>151</v>
      </c>
      <c r="D146" s="28"/>
      <c r="E146" s="28">
        <v>20170523</v>
      </c>
      <c r="F146" s="28"/>
      <c r="G146" s="29" t="s">
        <v>51</v>
      </c>
      <c r="H146" s="30" t="s">
        <v>71</v>
      </c>
      <c r="I146" s="28" t="s">
        <v>72</v>
      </c>
      <c r="J146" s="28" t="s">
        <v>58</v>
      </c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>
        <v>1</v>
      </c>
      <c r="AI146" s="47"/>
      <c r="AJ146" s="47">
        <v>1</v>
      </c>
      <c r="AK146" s="47"/>
      <c r="AL146" s="47"/>
      <c r="AM146" s="28">
        <f t="shared" si="2"/>
        <v>2</v>
      </c>
      <c r="AN146" s="28"/>
    </row>
    <row r="147" spans="1:40">
      <c r="A147" s="28">
        <v>145</v>
      </c>
      <c r="B147" s="29">
        <v>500784</v>
      </c>
      <c r="C147" s="28" t="s">
        <v>170</v>
      </c>
      <c r="D147" s="28"/>
      <c r="E147" s="28">
        <v>20180823</v>
      </c>
      <c r="F147" s="28"/>
      <c r="G147" s="29" t="s">
        <v>51</v>
      </c>
      <c r="H147" s="30" t="s">
        <v>71</v>
      </c>
      <c r="I147" s="28" t="s">
        <v>72</v>
      </c>
      <c r="J147" s="28" t="s">
        <v>54</v>
      </c>
      <c r="K147" s="47"/>
      <c r="L147" s="47">
        <v>2</v>
      </c>
      <c r="M147" s="47">
        <v>2</v>
      </c>
      <c r="N147" s="47">
        <v>2</v>
      </c>
      <c r="O147" s="47"/>
      <c r="P147" s="47">
        <v>2</v>
      </c>
      <c r="Q147" s="47">
        <v>1.5</v>
      </c>
      <c r="R147" s="47"/>
      <c r="S147" s="47">
        <v>1.5</v>
      </c>
      <c r="T147" s="47">
        <v>1.5</v>
      </c>
      <c r="U147" s="47">
        <v>1.5</v>
      </c>
      <c r="V147" s="47">
        <v>7</v>
      </c>
      <c r="W147" s="47">
        <v>7</v>
      </c>
      <c r="X147" s="47"/>
      <c r="Y147" s="47"/>
      <c r="Z147" s="47">
        <v>7</v>
      </c>
      <c r="AA147" s="47">
        <v>7</v>
      </c>
      <c r="AB147" s="47"/>
      <c r="AC147" s="47">
        <v>1.5</v>
      </c>
      <c r="AD147" s="47"/>
      <c r="AE147" s="47">
        <v>1.5</v>
      </c>
      <c r="AF147" s="47"/>
      <c r="AG147" s="47"/>
      <c r="AH147" s="47"/>
      <c r="AI147" s="47">
        <v>2</v>
      </c>
      <c r="AJ147" s="47">
        <v>2</v>
      </c>
      <c r="AK147" s="47">
        <v>2</v>
      </c>
      <c r="AL147" s="47"/>
      <c r="AM147" s="28">
        <f t="shared" si="2"/>
        <v>51</v>
      </c>
      <c r="AN147" s="28"/>
    </row>
    <row r="148" spans="1:40">
      <c r="A148" s="28">
        <v>146</v>
      </c>
      <c r="B148" s="29">
        <v>501087</v>
      </c>
      <c r="C148" s="28" t="s">
        <v>197</v>
      </c>
      <c r="D148" s="28"/>
      <c r="E148" s="28">
        <v>20211123</v>
      </c>
      <c r="F148" s="28"/>
      <c r="G148" s="29" t="s">
        <v>51</v>
      </c>
      <c r="H148" s="30" t="s">
        <v>71</v>
      </c>
      <c r="I148" s="28" t="s">
        <v>72</v>
      </c>
      <c r="J148" s="28" t="s">
        <v>58</v>
      </c>
      <c r="K148" s="47"/>
      <c r="L148" s="47"/>
      <c r="M148" s="47"/>
      <c r="N148" s="47">
        <v>1.5</v>
      </c>
      <c r="O148" s="47"/>
      <c r="P148" s="47"/>
      <c r="Q148" s="47">
        <v>1.5</v>
      </c>
      <c r="R148" s="47"/>
      <c r="S148" s="47"/>
      <c r="T148" s="47">
        <v>2</v>
      </c>
      <c r="U148" s="47">
        <v>2</v>
      </c>
      <c r="V148" s="47">
        <v>7</v>
      </c>
      <c r="W148" s="47">
        <v>7</v>
      </c>
      <c r="X148" s="47"/>
      <c r="Y148" s="47"/>
      <c r="Z148" s="47"/>
      <c r="AA148" s="47">
        <v>7</v>
      </c>
      <c r="AB148" s="47">
        <v>2</v>
      </c>
      <c r="AC148" s="47">
        <v>2</v>
      </c>
      <c r="AD148" s="47">
        <v>2</v>
      </c>
      <c r="AE148" s="47">
        <v>1.5</v>
      </c>
      <c r="AF148" s="47">
        <v>2</v>
      </c>
      <c r="AG148" s="47"/>
      <c r="AH148" s="47">
        <v>1.5</v>
      </c>
      <c r="AI148" s="47"/>
      <c r="AJ148" s="47">
        <v>1.5</v>
      </c>
      <c r="AK148" s="47">
        <v>1.5</v>
      </c>
      <c r="AL148" s="47"/>
      <c r="AM148" s="28">
        <f t="shared" si="2"/>
        <v>42</v>
      </c>
      <c r="AN148" s="28"/>
    </row>
    <row r="149" spans="1:40">
      <c r="A149" s="28">
        <v>147</v>
      </c>
      <c r="B149" s="29">
        <v>501225</v>
      </c>
      <c r="C149" s="28" t="s">
        <v>217</v>
      </c>
      <c r="D149" s="28"/>
      <c r="E149" s="28">
        <v>20240619</v>
      </c>
      <c r="F149" s="28"/>
      <c r="G149" s="29" t="s">
        <v>51</v>
      </c>
      <c r="H149" s="30" t="s">
        <v>71</v>
      </c>
      <c r="I149" s="28" t="s">
        <v>72</v>
      </c>
      <c r="J149" s="28" t="s">
        <v>54</v>
      </c>
      <c r="K149" s="47">
        <v>2</v>
      </c>
      <c r="L149" s="47">
        <v>2</v>
      </c>
      <c r="M149" s="47">
        <v>2</v>
      </c>
      <c r="N149" s="47">
        <v>2</v>
      </c>
      <c r="O149" s="47"/>
      <c r="P149" s="47">
        <v>2</v>
      </c>
      <c r="Q149" s="47">
        <v>1.5</v>
      </c>
      <c r="R149" s="47">
        <v>2</v>
      </c>
      <c r="S149" s="47">
        <v>1.5</v>
      </c>
      <c r="T149" s="47">
        <v>1.5</v>
      </c>
      <c r="U149" s="47">
        <v>1.5</v>
      </c>
      <c r="V149" s="47"/>
      <c r="W149" s="47">
        <v>7</v>
      </c>
      <c r="X149" s="47"/>
      <c r="Y149" s="47"/>
      <c r="Z149" s="47">
        <v>7</v>
      </c>
      <c r="AA149" s="47">
        <v>7</v>
      </c>
      <c r="AB149" s="47">
        <v>1.5</v>
      </c>
      <c r="AC149" s="47"/>
      <c r="AD149" s="47"/>
      <c r="AE149" s="47">
        <v>1.5</v>
      </c>
      <c r="AF149" s="47">
        <v>1.5</v>
      </c>
      <c r="AG149" s="47">
        <v>2</v>
      </c>
      <c r="AH149" s="47">
        <v>2</v>
      </c>
      <c r="AI149" s="47"/>
      <c r="AJ149" s="47"/>
      <c r="AK149" s="47"/>
      <c r="AL149" s="47"/>
      <c r="AM149" s="28">
        <f t="shared" si="2"/>
        <v>47.5</v>
      </c>
      <c r="AN149" s="28"/>
    </row>
    <row r="150" spans="1:40">
      <c r="A150" s="28">
        <v>148</v>
      </c>
      <c r="B150" s="29">
        <v>501226</v>
      </c>
      <c r="C150" s="28" t="s">
        <v>218</v>
      </c>
      <c r="D150" s="28"/>
      <c r="E150" s="28">
        <v>20240619</v>
      </c>
      <c r="F150" s="28"/>
      <c r="G150" s="29" t="s">
        <v>51</v>
      </c>
      <c r="H150" s="30" t="s">
        <v>71</v>
      </c>
      <c r="I150" s="28" t="s">
        <v>72</v>
      </c>
      <c r="J150" s="28" t="s">
        <v>54</v>
      </c>
      <c r="K150" s="47">
        <v>1.5</v>
      </c>
      <c r="L150" s="47">
        <v>1.5</v>
      </c>
      <c r="M150" s="47">
        <v>1.5</v>
      </c>
      <c r="N150" s="47">
        <v>1.5</v>
      </c>
      <c r="O150" s="47"/>
      <c r="P150" s="47">
        <v>1.5</v>
      </c>
      <c r="Q150" s="47"/>
      <c r="R150" s="47"/>
      <c r="S150" s="47"/>
      <c r="T150" s="47">
        <v>2</v>
      </c>
      <c r="U150" s="47">
        <v>2</v>
      </c>
      <c r="V150" s="47">
        <v>7</v>
      </c>
      <c r="W150" s="47">
        <v>7</v>
      </c>
      <c r="X150" s="47"/>
      <c r="Y150" s="47"/>
      <c r="Z150" s="47">
        <v>7</v>
      </c>
      <c r="AA150" s="47">
        <v>7</v>
      </c>
      <c r="AB150" s="47">
        <v>2</v>
      </c>
      <c r="AC150" s="47">
        <v>2</v>
      </c>
      <c r="AD150" s="47"/>
      <c r="AE150" s="47"/>
      <c r="AF150" s="47"/>
      <c r="AG150" s="47"/>
      <c r="AH150" s="47"/>
      <c r="AI150" s="47"/>
      <c r="AJ150" s="47"/>
      <c r="AK150" s="47"/>
      <c r="AL150" s="47"/>
      <c r="AM150" s="28">
        <f t="shared" si="2"/>
        <v>43.5</v>
      </c>
      <c r="AN150" s="28"/>
    </row>
    <row r="151" spans="1:40">
      <c r="A151" s="28">
        <v>149</v>
      </c>
      <c r="B151" s="29">
        <v>500402</v>
      </c>
      <c r="C151" s="28" t="s">
        <v>131</v>
      </c>
      <c r="D151" s="28"/>
      <c r="E151" s="28">
        <v>20161017</v>
      </c>
      <c r="F151" s="28"/>
      <c r="G151" s="29" t="s">
        <v>51</v>
      </c>
      <c r="H151" s="30" t="s">
        <v>132</v>
      </c>
      <c r="I151" s="28" t="s">
        <v>133</v>
      </c>
      <c r="J151" s="28" t="s">
        <v>54</v>
      </c>
      <c r="K151" s="47"/>
      <c r="L151" s="47">
        <v>2</v>
      </c>
      <c r="M151" s="47">
        <v>2</v>
      </c>
      <c r="N151" s="47">
        <v>2</v>
      </c>
      <c r="O151" s="47"/>
      <c r="P151" s="47">
        <v>2</v>
      </c>
      <c r="Q151" s="47">
        <v>5</v>
      </c>
      <c r="R151" s="47"/>
      <c r="S151" s="47"/>
      <c r="T151" s="47"/>
      <c r="U151" s="47"/>
      <c r="V151" s="47"/>
      <c r="W151" s="47"/>
      <c r="X151" s="47"/>
      <c r="Y151" s="47"/>
      <c r="Z151" s="47">
        <v>8</v>
      </c>
      <c r="AA151" s="47">
        <v>8</v>
      </c>
      <c r="AB151" s="47"/>
      <c r="AC151" s="47"/>
      <c r="AD151" s="47"/>
      <c r="AE151" s="47">
        <v>1.5</v>
      </c>
      <c r="AF151" s="47"/>
      <c r="AG151" s="47"/>
      <c r="AH151" s="47">
        <v>2</v>
      </c>
      <c r="AI151" s="47">
        <v>2</v>
      </c>
      <c r="AJ151" s="47">
        <v>2</v>
      </c>
      <c r="AK151" s="47">
        <v>2</v>
      </c>
      <c r="AL151" s="47">
        <v>5</v>
      </c>
      <c r="AM151" s="28">
        <f t="shared" si="2"/>
        <v>43.5</v>
      </c>
      <c r="AN151" s="28"/>
    </row>
    <row r="152" spans="1:40">
      <c r="A152" s="28">
        <v>150</v>
      </c>
      <c r="B152" s="29">
        <v>500441</v>
      </c>
      <c r="C152" s="28" t="s">
        <v>139</v>
      </c>
      <c r="D152" s="28"/>
      <c r="E152" s="28">
        <v>20161227</v>
      </c>
      <c r="F152" s="28"/>
      <c r="G152" s="29" t="s">
        <v>51</v>
      </c>
      <c r="H152" s="30" t="s">
        <v>132</v>
      </c>
      <c r="I152" s="28" t="s">
        <v>133</v>
      </c>
      <c r="J152" s="28" t="s">
        <v>54</v>
      </c>
      <c r="K152" s="47"/>
      <c r="L152" s="47"/>
      <c r="M152" s="47"/>
      <c r="N152" s="47"/>
      <c r="O152" s="47"/>
      <c r="P152" s="47"/>
      <c r="Q152" s="47"/>
      <c r="R152" s="47"/>
      <c r="S152" s="47"/>
      <c r="T152" s="47">
        <v>2</v>
      </c>
      <c r="U152" s="47">
        <v>0.5</v>
      </c>
      <c r="V152" s="47"/>
      <c r="W152" s="47"/>
      <c r="X152" s="47">
        <v>3</v>
      </c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>
        <v>2</v>
      </c>
      <c r="AK152" s="47">
        <v>2</v>
      </c>
      <c r="AL152" s="47">
        <v>5</v>
      </c>
      <c r="AM152" s="28">
        <f t="shared" si="2"/>
        <v>14.5</v>
      </c>
      <c r="AN152" s="28"/>
    </row>
    <row r="153" spans="1:40">
      <c r="A153" s="28">
        <v>151</v>
      </c>
      <c r="B153" s="29">
        <v>500722</v>
      </c>
      <c r="C153" s="28" t="s">
        <v>163</v>
      </c>
      <c r="D153" s="28"/>
      <c r="E153" s="28">
        <v>20180424</v>
      </c>
      <c r="F153" s="28"/>
      <c r="G153" s="29" t="s">
        <v>51</v>
      </c>
      <c r="H153" s="30" t="s">
        <v>132</v>
      </c>
      <c r="I153" s="28" t="s">
        <v>133</v>
      </c>
      <c r="J153" s="28" t="s">
        <v>54</v>
      </c>
      <c r="K153" s="47"/>
      <c r="L153" s="47">
        <v>2</v>
      </c>
      <c r="M153" s="47">
        <v>2</v>
      </c>
      <c r="N153" s="47">
        <v>2</v>
      </c>
      <c r="O153" s="47"/>
      <c r="P153" s="47">
        <v>2</v>
      </c>
      <c r="Q153" s="47">
        <v>2</v>
      </c>
      <c r="R153" s="47"/>
      <c r="S153" s="47"/>
      <c r="T153" s="47">
        <v>2</v>
      </c>
      <c r="U153" s="47">
        <v>0.5</v>
      </c>
      <c r="V153" s="47"/>
      <c r="W153" s="47"/>
      <c r="X153" s="47">
        <v>3</v>
      </c>
      <c r="Y153" s="47"/>
      <c r="Z153" s="47"/>
      <c r="AA153" s="47"/>
      <c r="AB153" s="47"/>
      <c r="AC153" s="47"/>
      <c r="AD153" s="47"/>
      <c r="AE153" s="47"/>
      <c r="AF153" s="47"/>
      <c r="AG153" s="47"/>
      <c r="AH153" s="47">
        <v>1.5</v>
      </c>
      <c r="AI153" s="47"/>
      <c r="AJ153" s="47">
        <v>2</v>
      </c>
      <c r="AK153" s="47">
        <v>2</v>
      </c>
      <c r="AL153" s="47">
        <v>5</v>
      </c>
      <c r="AM153" s="28">
        <f t="shared" si="2"/>
        <v>26</v>
      </c>
      <c r="AN153" s="28"/>
    </row>
    <row r="154" spans="1:40">
      <c r="A154" s="28">
        <v>152</v>
      </c>
      <c r="B154" s="29">
        <v>500783</v>
      </c>
      <c r="C154" s="28" t="s">
        <v>169</v>
      </c>
      <c r="D154" s="28"/>
      <c r="E154" s="28">
        <v>20180801</v>
      </c>
      <c r="F154" s="28"/>
      <c r="G154" s="29" t="s">
        <v>51</v>
      </c>
      <c r="H154" s="30" t="s">
        <v>132</v>
      </c>
      <c r="I154" s="28" t="s">
        <v>133</v>
      </c>
      <c r="J154" s="28" t="s">
        <v>54</v>
      </c>
      <c r="K154" s="47"/>
      <c r="L154" s="47"/>
      <c r="M154" s="47"/>
      <c r="N154" s="47">
        <v>2</v>
      </c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28">
        <f t="shared" si="2"/>
        <v>2</v>
      </c>
      <c r="AN154" s="28"/>
    </row>
    <row r="155" spans="1:40">
      <c r="A155" s="28">
        <v>153</v>
      </c>
      <c r="B155" s="29">
        <v>501207</v>
      </c>
      <c r="C155" s="28" t="s">
        <v>212</v>
      </c>
      <c r="D155" s="28"/>
      <c r="E155" s="28">
        <v>20240206</v>
      </c>
      <c r="F155" s="28"/>
      <c r="G155" s="29" t="s">
        <v>51</v>
      </c>
      <c r="H155" s="30" t="s">
        <v>132</v>
      </c>
      <c r="I155" s="28" t="s">
        <v>133</v>
      </c>
      <c r="J155" s="28" t="s">
        <v>54</v>
      </c>
      <c r="K155" s="47"/>
      <c r="L155" s="47">
        <v>2</v>
      </c>
      <c r="M155" s="47">
        <v>2</v>
      </c>
      <c r="N155" s="47">
        <v>2</v>
      </c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>
        <v>2</v>
      </c>
      <c r="AI155" s="47">
        <v>2</v>
      </c>
      <c r="AJ155" s="47">
        <v>2</v>
      </c>
      <c r="AK155" s="47">
        <v>2</v>
      </c>
      <c r="AL155" s="47">
        <v>5</v>
      </c>
      <c r="AM155" s="28">
        <f t="shared" si="2"/>
        <v>19</v>
      </c>
      <c r="AN155" s="28"/>
    </row>
    <row r="156" spans="1:40">
      <c r="A156" s="28">
        <v>154</v>
      </c>
      <c r="B156" s="29">
        <v>501298</v>
      </c>
      <c r="C156" s="28" t="s">
        <v>261</v>
      </c>
      <c r="D156" s="28"/>
      <c r="E156" s="28">
        <v>20250909</v>
      </c>
      <c r="F156" s="28"/>
      <c r="G156" s="29" t="s">
        <v>51</v>
      </c>
      <c r="H156" s="30" t="s">
        <v>132</v>
      </c>
      <c r="I156" s="28" t="s">
        <v>133</v>
      </c>
      <c r="J156" s="28" t="s">
        <v>54</v>
      </c>
      <c r="K156" s="47"/>
      <c r="L156" s="47">
        <v>2</v>
      </c>
      <c r="M156" s="47">
        <v>2</v>
      </c>
      <c r="N156" s="47">
        <v>2</v>
      </c>
      <c r="O156" s="47"/>
      <c r="P156" s="47"/>
      <c r="Q156" s="47"/>
      <c r="R156" s="47"/>
      <c r="S156" s="47"/>
      <c r="T156" s="47"/>
      <c r="U156" s="47"/>
      <c r="V156" s="47">
        <v>8</v>
      </c>
      <c r="W156" s="47">
        <v>8</v>
      </c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>
        <v>2</v>
      </c>
      <c r="AI156" s="47">
        <v>2</v>
      </c>
      <c r="AJ156" s="47">
        <v>2</v>
      </c>
      <c r="AK156" s="47">
        <v>2</v>
      </c>
      <c r="AL156" s="47">
        <v>5</v>
      </c>
      <c r="AM156" s="28">
        <f t="shared" si="2"/>
        <v>35</v>
      </c>
      <c r="AN156" s="28"/>
    </row>
    <row r="157" spans="1:40">
      <c r="A157" s="28">
        <v>155</v>
      </c>
      <c r="B157" s="29">
        <v>501307</v>
      </c>
      <c r="C157" s="28" t="s">
        <v>269</v>
      </c>
      <c r="D157" s="28"/>
      <c r="E157" s="28">
        <v>20251111</v>
      </c>
      <c r="F157" s="28"/>
      <c r="G157" s="29" t="s">
        <v>51</v>
      </c>
      <c r="H157" s="30" t="s">
        <v>132</v>
      </c>
      <c r="I157" s="28" t="s">
        <v>133</v>
      </c>
      <c r="J157" s="28" t="s">
        <v>54</v>
      </c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>
        <v>2</v>
      </c>
      <c r="AJ157" s="47"/>
      <c r="AK157" s="47"/>
      <c r="AL157" s="47"/>
      <c r="AM157" s="28">
        <f t="shared" si="2"/>
        <v>2</v>
      </c>
      <c r="AN157" s="28"/>
    </row>
    <row r="158" spans="1:40">
      <c r="A158" s="28">
        <v>156</v>
      </c>
      <c r="B158" s="29">
        <v>501308</v>
      </c>
      <c r="C158" s="28" t="s">
        <v>270</v>
      </c>
      <c r="D158" s="28"/>
      <c r="E158" s="28">
        <v>20251111</v>
      </c>
      <c r="F158" s="28"/>
      <c r="G158" s="29" t="s">
        <v>51</v>
      </c>
      <c r="H158" s="30" t="s">
        <v>132</v>
      </c>
      <c r="I158" s="28" t="s">
        <v>133</v>
      </c>
      <c r="J158" s="28" t="s">
        <v>54</v>
      </c>
      <c r="K158" s="47"/>
      <c r="L158" s="47">
        <v>2</v>
      </c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>
        <v>2</v>
      </c>
      <c r="AI158" s="47">
        <v>2</v>
      </c>
      <c r="AJ158" s="47">
        <v>2</v>
      </c>
      <c r="AK158" s="47">
        <v>2</v>
      </c>
      <c r="AL158" s="47">
        <v>5</v>
      </c>
      <c r="AM158" s="28">
        <f t="shared" si="2"/>
        <v>15</v>
      </c>
      <c r="AN158" s="28"/>
    </row>
    <row r="159" spans="1:40">
      <c r="A159" s="28">
        <v>157</v>
      </c>
      <c r="B159" s="41">
        <v>501309</v>
      </c>
      <c r="C159" s="40" t="s">
        <v>271</v>
      </c>
      <c r="D159" s="40"/>
      <c r="E159" s="40">
        <v>20251111</v>
      </c>
      <c r="F159" s="40">
        <v>20260205</v>
      </c>
      <c r="G159" s="41" t="s">
        <v>51</v>
      </c>
      <c r="H159" s="42" t="s">
        <v>132</v>
      </c>
      <c r="I159" s="40" t="s">
        <v>133</v>
      </c>
      <c r="J159" s="40" t="s">
        <v>54</v>
      </c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28">
        <f t="shared" si="2"/>
        <v>0</v>
      </c>
      <c r="AN159" s="28"/>
    </row>
    <row r="160" spans="1:40">
      <c r="A160" s="28">
        <v>158</v>
      </c>
      <c r="B160" s="29">
        <v>501310</v>
      </c>
      <c r="C160" s="28" t="s">
        <v>272</v>
      </c>
      <c r="D160" s="28"/>
      <c r="E160" s="28">
        <v>20251111</v>
      </c>
      <c r="F160" s="28"/>
      <c r="G160" s="29" t="s">
        <v>51</v>
      </c>
      <c r="H160" s="30" t="s">
        <v>132</v>
      </c>
      <c r="I160" s="28" t="s">
        <v>133</v>
      </c>
      <c r="J160" s="28" t="s">
        <v>58</v>
      </c>
      <c r="K160" s="47"/>
      <c r="L160" s="47"/>
      <c r="M160" s="47"/>
      <c r="N160" s="47"/>
      <c r="O160" s="47"/>
      <c r="P160" s="47"/>
      <c r="Q160" s="47">
        <v>0.5</v>
      </c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>
        <v>0.5</v>
      </c>
      <c r="AF160" s="47"/>
      <c r="AG160" s="47"/>
      <c r="AH160" s="47"/>
      <c r="AI160" s="47"/>
      <c r="AJ160" s="47">
        <v>0.5</v>
      </c>
      <c r="AK160" s="47"/>
      <c r="AL160" s="47"/>
      <c r="AM160" s="28">
        <f t="shared" si="2"/>
        <v>1.5</v>
      </c>
      <c r="AN160" s="28"/>
    </row>
    <row r="161" spans="1:40">
      <c r="A161" s="28">
        <v>159</v>
      </c>
      <c r="B161" s="29">
        <v>501315</v>
      </c>
      <c r="C161" s="28" t="s">
        <v>428</v>
      </c>
      <c r="D161" s="28"/>
      <c r="E161" s="28">
        <v>20260203</v>
      </c>
      <c r="F161" s="28"/>
      <c r="G161" s="29" t="s">
        <v>51</v>
      </c>
      <c r="H161" s="30" t="s">
        <v>132</v>
      </c>
      <c r="I161" s="28" t="s">
        <v>133</v>
      </c>
      <c r="J161" s="28" t="s">
        <v>58</v>
      </c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>
        <f t="shared" si="2"/>
        <v>0</v>
      </c>
      <c r="AN161" s="28"/>
    </row>
    <row r="162" spans="1:40">
      <c r="A162" s="28">
        <v>160</v>
      </c>
      <c r="B162" s="29">
        <v>500056</v>
      </c>
      <c r="C162" s="28" t="s">
        <v>63</v>
      </c>
      <c r="D162" s="28"/>
      <c r="E162" s="28">
        <v>20150518</v>
      </c>
      <c r="F162" s="28"/>
      <c r="G162" s="29" t="s">
        <v>51</v>
      </c>
      <c r="H162" s="30" t="s">
        <v>78</v>
      </c>
      <c r="I162" s="28" t="s">
        <v>79</v>
      </c>
      <c r="J162" s="28" t="s">
        <v>58</v>
      </c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>
        <v>7</v>
      </c>
      <c r="W162" s="47">
        <v>7</v>
      </c>
      <c r="X162" s="47"/>
      <c r="Y162" s="47"/>
      <c r="Z162" s="47">
        <v>7</v>
      </c>
      <c r="AA162" s="47">
        <v>7</v>
      </c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28">
        <f t="shared" si="2"/>
        <v>28</v>
      </c>
      <c r="AN162" s="28"/>
    </row>
    <row r="163" spans="1:40">
      <c r="A163" s="28">
        <v>161</v>
      </c>
      <c r="B163" s="29">
        <v>500078</v>
      </c>
      <c r="C163" s="28" t="s">
        <v>82</v>
      </c>
      <c r="D163" s="28"/>
      <c r="E163" s="28">
        <v>20150615</v>
      </c>
      <c r="F163" s="28"/>
      <c r="G163" s="29" t="s">
        <v>51</v>
      </c>
      <c r="H163" s="30" t="s">
        <v>78</v>
      </c>
      <c r="I163" s="28" t="s">
        <v>79</v>
      </c>
      <c r="J163" s="28" t="s">
        <v>54</v>
      </c>
      <c r="K163" s="47"/>
      <c r="L163" s="47">
        <v>2</v>
      </c>
      <c r="M163" s="47">
        <v>2</v>
      </c>
      <c r="N163" s="47"/>
      <c r="O163" s="47"/>
      <c r="P163" s="47"/>
      <c r="Q163" s="47"/>
      <c r="R163" s="47"/>
      <c r="S163" s="47"/>
      <c r="T163" s="47"/>
      <c r="U163" s="47"/>
      <c r="V163" s="47">
        <v>7</v>
      </c>
      <c r="W163" s="47">
        <v>7</v>
      </c>
      <c r="X163" s="47"/>
      <c r="Y163" s="47"/>
      <c r="Z163" s="47"/>
      <c r="AA163" s="47">
        <v>7</v>
      </c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28">
        <f t="shared" si="2"/>
        <v>25</v>
      </c>
      <c r="AN163" s="28"/>
    </row>
    <row r="164" spans="1:40">
      <c r="A164" s="28">
        <v>162</v>
      </c>
      <c r="B164" s="29">
        <v>500106</v>
      </c>
      <c r="C164" s="28" t="s">
        <v>84</v>
      </c>
      <c r="D164" s="28"/>
      <c r="E164" s="28">
        <v>20150701</v>
      </c>
      <c r="F164" s="28"/>
      <c r="G164" s="29" t="s">
        <v>51</v>
      </c>
      <c r="H164" s="30" t="s">
        <v>78</v>
      </c>
      <c r="I164" s="28" t="s">
        <v>79</v>
      </c>
      <c r="J164" s="28" t="s">
        <v>54</v>
      </c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>
        <v>7</v>
      </c>
      <c r="W164" s="47"/>
      <c r="X164" s="47"/>
      <c r="Y164" s="47">
        <v>1</v>
      </c>
      <c r="Z164" s="47">
        <v>7</v>
      </c>
      <c r="AA164" s="47">
        <v>7</v>
      </c>
      <c r="AB164" s="47">
        <v>1.5</v>
      </c>
      <c r="AC164" s="47">
        <v>1</v>
      </c>
      <c r="AD164" s="47"/>
      <c r="AE164" s="47"/>
      <c r="AF164" s="47"/>
      <c r="AG164" s="47"/>
      <c r="AH164" s="47"/>
      <c r="AI164" s="47"/>
      <c r="AJ164" s="47"/>
      <c r="AK164" s="47"/>
      <c r="AL164" s="47"/>
      <c r="AM164" s="28">
        <f t="shared" si="2"/>
        <v>24.5</v>
      </c>
      <c r="AN164" s="28"/>
    </row>
    <row r="165" spans="1:40">
      <c r="A165" s="28">
        <v>163</v>
      </c>
      <c r="B165" s="29">
        <v>500263</v>
      </c>
      <c r="C165" s="28" t="s">
        <v>105</v>
      </c>
      <c r="D165" s="28"/>
      <c r="E165" s="28">
        <v>20160114</v>
      </c>
      <c r="F165" s="28"/>
      <c r="G165" s="29" t="s">
        <v>51</v>
      </c>
      <c r="H165" s="30" t="s">
        <v>78</v>
      </c>
      <c r="I165" s="28" t="s">
        <v>79</v>
      </c>
      <c r="J165" s="28" t="s">
        <v>54</v>
      </c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28">
        <f t="shared" si="2"/>
        <v>0</v>
      </c>
      <c r="AN165" s="28"/>
    </row>
    <row r="166" spans="1:40">
      <c r="A166" s="28">
        <v>164</v>
      </c>
      <c r="B166" s="29">
        <v>500273</v>
      </c>
      <c r="C166" s="28" t="s">
        <v>106</v>
      </c>
      <c r="D166" s="28"/>
      <c r="E166" s="28">
        <v>20160210</v>
      </c>
      <c r="F166" s="28"/>
      <c r="G166" s="29" t="s">
        <v>51</v>
      </c>
      <c r="H166" s="30" t="s">
        <v>78</v>
      </c>
      <c r="I166" s="28" t="s">
        <v>79</v>
      </c>
      <c r="J166" s="28" t="s">
        <v>54</v>
      </c>
      <c r="K166" s="47"/>
      <c r="L166" s="47"/>
      <c r="M166" s="47">
        <v>2</v>
      </c>
      <c r="N166" s="47"/>
      <c r="O166" s="47"/>
      <c r="P166" s="47">
        <v>2</v>
      </c>
      <c r="Q166" s="47"/>
      <c r="R166" s="47"/>
      <c r="S166" s="47"/>
      <c r="T166" s="47"/>
      <c r="U166" s="47">
        <v>2</v>
      </c>
      <c r="V166" s="47"/>
      <c r="W166" s="47">
        <v>7</v>
      </c>
      <c r="X166" s="47"/>
      <c r="Y166" s="47"/>
      <c r="Z166" s="47">
        <v>7</v>
      </c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28">
        <f t="shared" si="2"/>
        <v>20</v>
      </c>
      <c r="AN166" s="28"/>
    </row>
    <row r="167" spans="1:40">
      <c r="A167" s="28">
        <v>165</v>
      </c>
      <c r="B167" s="29">
        <v>500282</v>
      </c>
      <c r="C167" s="28" t="s">
        <v>108</v>
      </c>
      <c r="D167" s="28"/>
      <c r="E167" s="28">
        <v>20160321</v>
      </c>
      <c r="F167" s="28"/>
      <c r="G167" s="29" t="s">
        <v>51</v>
      </c>
      <c r="H167" s="30" t="s">
        <v>78</v>
      </c>
      <c r="I167" s="28" t="s">
        <v>79</v>
      </c>
      <c r="J167" s="28" t="s">
        <v>54</v>
      </c>
      <c r="K167" s="47"/>
      <c r="L167" s="47">
        <v>2</v>
      </c>
      <c r="M167" s="47">
        <v>2</v>
      </c>
      <c r="N167" s="47">
        <v>2</v>
      </c>
      <c r="O167" s="47"/>
      <c r="P167" s="47"/>
      <c r="Q167" s="47"/>
      <c r="R167" s="47"/>
      <c r="S167" s="47">
        <v>2</v>
      </c>
      <c r="T167" s="47">
        <v>2</v>
      </c>
      <c r="U167" s="47"/>
      <c r="V167" s="47">
        <v>7</v>
      </c>
      <c r="W167" s="47">
        <v>7</v>
      </c>
      <c r="X167" s="47"/>
      <c r="Y167" s="47"/>
      <c r="Z167" s="47">
        <v>7</v>
      </c>
      <c r="AA167" s="47">
        <v>7</v>
      </c>
      <c r="AB167" s="47">
        <v>2</v>
      </c>
      <c r="AC167" s="47"/>
      <c r="AD167" s="47"/>
      <c r="AE167" s="47"/>
      <c r="AF167" s="47"/>
      <c r="AG167" s="47">
        <v>2</v>
      </c>
      <c r="AH167" s="47">
        <v>2</v>
      </c>
      <c r="AI167" s="47">
        <v>2</v>
      </c>
      <c r="AJ167" s="47"/>
      <c r="AK167" s="47"/>
      <c r="AL167" s="47"/>
      <c r="AM167" s="28">
        <f t="shared" si="2"/>
        <v>46</v>
      </c>
      <c r="AN167" s="28"/>
    </row>
    <row r="168" spans="1:40">
      <c r="A168" s="28">
        <v>166</v>
      </c>
      <c r="B168" s="29">
        <v>500297</v>
      </c>
      <c r="C168" s="28" t="s">
        <v>110</v>
      </c>
      <c r="D168" s="28"/>
      <c r="E168" s="28">
        <v>20160503</v>
      </c>
      <c r="F168" s="28"/>
      <c r="G168" s="29" t="s">
        <v>51</v>
      </c>
      <c r="H168" s="30" t="s">
        <v>78</v>
      </c>
      <c r="I168" s="28" t="s">
        <v>79</v>
      </c>
      <c r="J168" s="28" t="s">
        <v>54</v>
      </c>
      <c r="K168" s="47"/>
      <c r="L168" s="47"/>
      <c r="M168" s="47"/>
      <c r="N168" s="47"/>
      <c r="O168" s="47"/>
      <c r="P168" s="47"/>
      <c r="Q168" s="47"/>
      <c r="R168" s="47"/>
      <c r="S168" s="47"/>
      <c r="T168" s="47">
        <v>1</v>
      </c>
      <c r="U168" s="47"/>
      <c r="V168" s="47">
        <v>7</v>
      </c>
      <c r="W168" s="47">
        <v>7</v>
      </c>
      <c r="X168" s="47"/>
      <c r="Y168" s="47"/>
      <c r="Z168" s="47"/>
      <c r="AA168" s="47">
        <v>7</v>
      </c>
      <c r="AB168" s="47"/>
      <c r="AC168" s="47"/>
      <c r="AD168" s="47"/>
      <c r="AE168" s="47"/>
      <c r="AF168" s="47">
        <v>1</v>
      </c>
      <c r="AG168" s="47"/>
      <c r="AH168" s="47"/>
      <c r="AI168" s="47"/>
      <c r="AJ168" s="47"/>
      <c r="AK168" s="47"/>
      <c r="AL168" s="47"/>
      <c r="AM168" s="28">
        <f t="shared" si="2"/>
        <v>23</v>
      </c>
      <c r="AN168" s="28"/>
    </row>
    <row r="169" spans="1:40">
      <c r="A169" s="28">
        <v>167</v>
      </c>
      <c r="B169" s="29">
        <v>500300</v>
      </c>
      <c r="C169" s="28" t="s">
        <v>112</v>
      </c>
      <c r="D169" s="28"/>
      <c r="E169" s="28">
        <v>20160503</v>
      </c>
      <c r="F169" s="28"/>
      <c r="G169" s="29" t="s">
        <v>51</v>
      </c>
      <c r="H169" s="30" t="s">
        <v>78</v>
      </c>
      <c r="I169" s="28" t="s">
        <v>79</v>
      </c>
      <c r="J169" s="28" t="s">
        <v>54</v>
      </c>
      <c r="K169" s="47"/>
      <c r="L169" s="47"/>
      <c r="M169" s="47">
        <v>2</v>
      </c>
      <c r="N169" s="47">
        <v>2</v>
      </c>
      <c r="O169" s="47"/>
      <c r="P169" s="47"/>
      <c r="Q169" s="47">
        <v>2</v>
      </c>
      <c r="R169" s="47"/>
      <c r="S169" s="47">
        <v>2</v>
      </c>
      <c r="T169" s="47"/>
      <c r="U169" s="47">
        <v>2</v>
      </c>
      <c r="V169" s="47">
        <v>7</v>
      </c>
      <c r="W169" s="47"/>
      <c r="X169" s="47"/>
      <c r="Y169" s="47"/>
      <c r="Z169" s="47">
        <v>7</v>
      </c>
      <c r="AA169" s="47">
        <v>7</v>
      </c>
      <c r="AB169" s="47">
        <v>2</v>
      </c>
      <c r="AC169" s="47">
        <v>2</v>
      </c>
      <c r="AD169" s="47"/>
      <c r="AE169" s="47"/>
      <c r="AF169" s="47"/>
      <c r="AG169" s="47">
        <v>2</v>
      </c>
      <c r="AH169" s="47"/>
      <c r="AI169" s="47"/>
      <c r="AJ169" s="47"/>
      <c r="AK169" s="47"/>
      <c r="AL169" s="47"/>
      <c r="AM169" s="28">
        <f t="shared" si="2"/>
        <v>37</v>
      </c>
      <c r="AN169" s="28"/>
    </row>
    <row r="170" spans="1:40">
      <c r="A170" s="28">
        <v>168</v>
      </c>
      <c r="B170" s="29">
        <v>500423</v>
      </c>
      <c r="C170" s="28" t="s">
        <v>135</v>
      </c>
      <c r="D170" s="28"/>
      <c r="E170" s="28">
        <v>20161201</v>
      </c>
      <c r="F170" s="28"/>
      <c r="G170" s="29" t="s">
        <v>51</v>
      </c>
      <c r="H170" s="30" t="s">
        <v>78</v>
      </c>
      <c r="I170" s="28" t="s">
        <v>79</v>
      </c>
      <c r="J170" s="28" t="s">
        <v>58</v>
      </c>
      <c r="K170" s="47"/>
      <c r="L170" s="47">
        <v>2</v>
      </c>
      <c r="M170" s="47">
        <v>2</v>
      </c>
      <c r="N170" s="47">
        <v>1</v>
      </c>
      <c r="O170" s="47"/>
      <c r="P170" s="47">
        <v>1</v>
      </c>
      <c r="Q170" s="47"/>
      <c r="R170" s="47">
        <v>1</v>
      </c>
      <c r="S170" s="47">
        <v>1</v>
      </c>
      <c r="T170" s="47">
        <v>1</v>
      </c>
      <c r="U170" s="47"/>
      <c r="V170" s="47">
        <v>7</v>
      </c>
      <c r="W170" s="47">
        <v>7</v>
      </c>
      <c r="X170" s="47"/>
      <c r="Y170" s="47">
        <v>0.5</v>
      </c>
      <c r="Z170" s="47">
        <v>7</v>
      </c>
      <c r="AA170" s="47">
        <v>7</v>
      </c>
      <c r="AB170" s="47">
        <v>1</v>
      </c>
      <c r="AC170" s="47">
        <v>1</v>
      </c>
      <c r="AD170" s="47">
        <v>1</v>
      </c>
      <c r="AE170" s="47"/>
      <c r="AF170" s="47">
        <v>1</v>
      </c>
      <c r="AG170" s="47">
        <v>1</v>
      </c>
      <c r="AH170" s="47">
        <v>1</v>
      </c>
      <c r="AI170" s="47">
        <v>1</v>
      </c>
      <c r="AJ170" s="47">
        <v>1</v>
      </c>
      <c r="AK170" s="47">
        <v>1</v>
      </c>
      <c r="AL170" s="47"/>
      <c r="AM170" s="28">
        <f t="shared" si="2"/>
        <v>46.5</v>
      </c>
      <c r="AN170" s="28"/>
    </row>
    <row r="171" spans="1:40">
      <c r="A171" s="28">
        <v>169</v>
      </c>
      <c r="B171" s="29">
        <v>500583</v>
      </c>
      <c r="C171" s="28" t="s">
        <v>154</v>
      </c>
      <c r="D171" s="28"/>
      <c r="E171" s="28">
        <v>20170803</v>
      </c>
      <c r="F171" s="28"/>
      <c r="G171" s="29" t="s">
        <v>51</v>
      </c>
      <c r="H171" s="30" t="s">
        <v>78</v>
      </c>
      <c r="I171" s="28" t="s">
        <v>79</v>
      </c>
      <c r="J171" s="28" t="s">
        <v>58</v>
      </c>
      <c r="K171" s="47"/>
      <c r="L171" s="47"/>
      <c r="M171" s="47"/>
      <c r="N171" s="47"/>
      <c r="O171" s="47"/>
      <c r="P171" s="47"/>
      <c r="Q171" s="47"/>
      <c r="R171" s="47"/>
      <c r="S171" s="47"/>
      <c r="T171" s="47">
        <v>1</v>
      </c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>
        <v>0.5</v>
      </c>
      <c r="AH171" s="47"/>
      <c r="AI171" s="47"/>
      <c r="AJ171" s="47"/>
      <c r="AK171" s="47"/>
      <c r="AL171" s="47"/>
      <c r="AM171" s="28">
        <f t="shared" si="2"/>
        <v>1.5</v>
      </c>
      <c r="AN171" s="28"/>
    </row>
    <row r="172" spans="1:40">
      <c r="A172" s="28">
        <v>170</v>
      </c>
      <c r="B172" s="29">
        <v>500678</v>
      </c>
      <c r="C172" s="28" t="s">
        <v>157</v>
      </c>
      <c r="D172" s="28"/>
      <c r="E172" s="28">
        <v>20180116</v>
      </c>
      <c r="F172" s="28"/>
      <c r="G172" s="29" t="s">
        <v>51</v>
      </c>
      <c r="H172" s="30" t="s">
        <v>78</v>
      </c>
      <c r="I172" s="28" t="s">
        <v>79</v>
      </c>
      <c r="J172" s="28" t="s">
        <v>58</v>
      </c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>
        <v>7</v>
      </c>
      <c r="W172" s="47">
        <v>7</v>
      </c>
      <c r="X172" s="47"/>
      <c r="Y172" s="47"/>
      <c r="Z172" s="47"/>
      <c r="AA172" s="47">
        <v>7</v>
      </c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28">
        <f t="shared" si="2"/>
        <v>21</v>
      </c>
      <c r="AN172" s="28"/>
    </row>
    <row r="173" spans="1:40">
      <c r="A173" s="28">
        <v>171</v>
      </c>
      <c r="B173" s="29">
        <v>501220</v>
      </c>
      <c r="C173" s="28" t="s">
        <v>216</v>
      </c>
      <c r="D173" s="28"/>
      <c r="E173" s="28">
        <v>20240604</v>
      </c>
      <c r="F173" s="28"/>
      <c r="G173" s="29" t="s">
        <v>51</v>
      </c>
      <c r="H173" s="30" t="s">
        <v>78</v>
      </c>
      <c r="I173" s="28" t="s">
        <v>79</v>
      </c>
      <c r="J173" s="28" t="s">
        <v>58</v>
      </c>
      <c r="K173" s="47">
        <v>1</v>
      </c>
      <c r="L173" s="47">
        <v>2</v>
      </c>
      <c r="M173" s="47">
        <v>2</v>
      </c>
      <c r="N173" s="47">
        <v>1.5</v>
      </c>
      <c r="O173" s="47"/>
      <c r="P173" s="47">
        <v>1</v>
      </c>
      <c r="Q173" s="47">
        <v>2</v>
      </c>
      <c r="R173" s="47">
        <v>1</v>
      </c>
      <c r="S173" s="47">
        <v>1</v>
      </c>
      <c r="T173" s="47">
        <v>2</v>
      </c>
      <c r="U173" s="47">
        <v>2</v>
      </c>
      <c r="V173" s="47"/>
      <c r="W173" s="47">
        <v>7</v>
      </c>
      <c r="X173" s="47">
        <v>2</v>
      </c>
      <c r="Y173" s="47"/>
      <c r="Z173" s="47">
        <v>7</v>
      </c>
      <c r="AA173" s="47">
        <v>7</v>
      </c>
      <c r="AB173" s="47">
        <v>2</v>
      </c>
      <c r="AC173" s="47"/>
      <c r="AD173" s="47">
        <v>1</v>
      </c>
      <c r="AE173" s="47">
        <v>2</v>
      </c>
      <c r="AF173" s="47">
        <v>1</v>
      </c>
      <c r="AG173" s="47"/>
      <c r="AH173" s="47">
        <v>2</v>
      </c>
      <c r="AI173" s="47">
        <v>1</v>
      </c>
      <c r="AJ173" s="47"/>
      <c r="AK173" s="47">
        <v>1</v>
      </c>
      <c r="AL173" s="47"/>
      <c r="AM173" s="28">
        <f t="shared" si="2"/>
        <v>48.5</v>
      </c>
      <c r="AN173" s="28"/>
    </row>
    <row r="174" spans="1:40">
      <c r="A174" s="28">
        <v>172</v>
      </c>
      <c r="B174" s="29">
        <v>501234</v>
      </c>
      <c r="C174" s="28" t="s">
        <v>221</v>
      </c>
      <c r="D174" s="28"/>
      <c r="E174" s="28">
        <v>20240716</v>
      </c>
      <c r="F174" s="28"/>
      <c r="G174" s="29" t="s">
        <v>51</v>
      </c>
      <c r="H174" s="30" t="s">
        <v>78</v>
      </c>
      <c r="I174" s="28" t="s">
        <v>79</v>
      </c>
      <c r="J174" s="28" t="s">
        <v>58</v>
      </c>
      <c r="K174" s="47">
        <v>1</v>
      </c>
      <c r="L174" s="47"/>
      <c r="M174" s="47"/>
      <c r="N174" s="47"/>
      <c r="O174" s="47"/>
      <c r="P174" s="47"/>
      <c r="Q174" s="47"/>
      <c r="R174" s="47">
        <v>1</v>
      </c>
      <c r="S174" s="47"/>
      <c r="T174" s="47"/>
      <c r="U174" s="47"/>
      <c r="V174" s="47"/>
      <c r="W174" s="47"/>
      <c r="X174" s="47"/>
      <c r="Y174" s="47"/>
      <c r="Z174" s="47"/>
      <c r="AA174" s="47"/>
      <c r="AB174" s="47">
        <v>1</v>
      </c>
      <c r="AC174" s="47"/>
      <c r="AD174" s="47"/>
      <c r="AE174" s="47"/>
      <c r="AF174" s="47">
        <v>1</v>
      </c>
      <c r="AG174" s="47"/>
      <c r="AH174" s="47"/>
      <c r="AI174" s="47"/>
      <c r="AJ174" s="47"/>
      <c r="AK174" s="47"/>
      <c r="AL174" s="47"/>
      <c r="AM174" s="28">
        <f t="shared" si="2"/>
        <v>4</v>
      </c>
      <c r="AN174" s="28"/>
    </row>
    <row r="175" spans="1:40">
      <c r="A175" s="28">
        <v>173</v>
      </c>
      <c r="B175" s="29">
        <v>501241</v>
      </c>
      <c r="C175" s="28" t="s">
        <v>226</v>
      </c>
      <c r="D175" s="28"/>
      <c r="E175" s="28">
        <v>20240829</v>
      </c>
      <c r="F175" s="28"/>
      <c r="G175" s="29" t="s">
        <v>51</v>
      </c>
      <c r="H175" s="30" t="s">
        <v>78</v>
      </c>
      <c r="I175" s="28" t="s">
        <v>79</v>
      </c>
      <c r="J175" s="28" t="s">
        <v>54</v>
      </c>
      <c r="K175" s="47">
        <v>1</v>
      </c>
      <c r="L175" s="47">
        <v>1</v>
      </c>
      <c r="M175" s="47">
        <v>1</v>
      </c>
      <c r="N175" s="47"/>
      <c r="O175" s="47"/>
      <c r="P175" s="47">
        <v>1</v>
      </c>
      <c r="Q175" s="47"/>
      <c r="R175" s="47">
        <v>1</v>
      </c>
      <c r="S175" s="47">
        <v>1</v>
      </c>
      <c r="T175" s="47">
        <v>1</v>
      </c>
      <c r="U175" s="47"/>
      <c r="V175" s="47">
        <v>7</v>
      </c>
      <c r="W175" s="47">
        <v>7</v>
      </c>
      <c r="X175" s="47"/>
      <c r="Y175" s="47">
        <v>1</v>
      </c>
      <c r="Z175" s="47">
        <v>7</v>
      </c>
      <c r="AA175" s="47">
        <v>7</v>
      </c>
      <c r="AB175" s="47"/>
      <c r="AC175" s="47">
        <v>1</v>
      </c>
      <c r="AD175" s="47"/>
      <c r="AE175" s="47"/>
      <c r="AF175" s="47">
        <v>1</v>
      </c>
      <c r="AG175" s="47">
        <v>1</v>
      </c>
      <c r="AH175" s="47">
        <v>1</v>
      </c>
      <c r="AI175" s="47"/>
      <c r="AJ175" s="47">
        <v>1</v>
      </c>
      <c r="AK175" s="47">
        <v>1</v>
      </c>
      <c r="AL175" s="47"/>
      <c r="AM175" s="28">
        <f t="shared" si="2"/>
        <v>42</v>
      </c>
      <c r="AN175" s="28"/>
    </row>
    <row r="176" spans="1:40">
      <c r="A176" s="28">
        <v>174</v>
      </c>
      <c r="B176" s="29">
        <v>501244</v>
      </c>
      <c r="C176" s="28" t="s">
        <v>227</v>
      </c>
      <c r="D176" s="28"/>
      <c r="E176" s="28">
        <v>20240909</v>
      </c>
      <c r="F176" s="28"/>
      <c r="G176" s="29" t="s">
        <v>51</v>
      </c>
      <c r="H176" s="30" t="s">
        <v>78</v>
      </c>
      <c r="I176" s="28" t="s">
        <v>79</v>
      </c>
      <c r="J176" s="28" t="s">
        <v>54</v>
      </c>
      <c r="K176" s="47"/>
      <c r="L176" s="47"/>
      <c r="M176" s="47"/>
      <c r="N176" s="47"/>
      <c r="O176" s="47"/>
      <c r="P176" s="47">
        <v>2</v>
      </c>
      <c r="Q176" s="47">
        <v>2</v>
      </c>
      <c r="R176" s="47"/>
      <c r="S176" s="47"/>
      <c r="T176" s="47">
        <v>2</v>
      </c>
      <c r="U176" s="47"/>
      <c r="V176" s="47">
        <v>7</v>
      </c>
      <c r="W176" s="47">
        <v>7</v>
      </c>
      <c r="X176" s="47"/>
      <c r="Y176" s="47"/>
      <c r="Z176" s="47"/>
      <c r="AA176" s="47">
        <v>7</v>
      </c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28">
        <f t="shared" si="2"/>
        <v>27</v>
      </c>
      <c r="AN176" s="28"/>
    </row>
    <row r="177" spans="1:40">
      <c r="A177" s="28">
        <v>175</v>
      </c>
      <c r="B177" s="29">
        <v>501249</v>
      </c>
      <c r="C177" s="28" t="s">
        <v>231</v>
      </c>
      <c r="D177" s="28"/>
      <c r="E177" s="28">
        <v>20241010</v>
      </c>
      <c r="F177" s="28"/>
      <c r="G177" s="29" t="s">
        <v>51</v>
      </c>
      <c r="H177" s="30" t="s">
        <v>78</v>
      </c>
      <c r="I177" s="28" t="s">
        <v>79</v>
      </c>
      <c r="J177" s="28" t="s">
        <v>58</v>
      </c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>
        <v>7</v>
      </c>
      <c r="W177" s="47">
        <v>7</v>
      </c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28">
        <f t="shared" si="2"/>
        <v>14</v>
      </c>
      <c r="AN177" s="28"/>
    </row>
    <row r="178" spans="1:40">
      <c r="A178" s="28">
        <v>176</v>
      </c>
      <c r="B178" s="29">
        <v>501268</v>
      </c>
      <c r="C178" s="28" t="s">
        <v>243</v>
      </c>
      <c r="D178" s="28"/>
      <c r="E178" s="28">
        <v>20250310</v>
      </c>
      <c r="F178" s="28"/>
      <c r="G178" s="29" t="s">
        <v>51</v>
      </c>
      <c r="H178" s="30" t="s">
        <v>78</v>
      </c>
      <c r="I178" s="28" t="s">
        <v>79</v>
      </c>
      <c r="J178" s="28" t="s">
        <v>58</v>
      </c>
      <c r="K178" s="47"/>
      <c r="L178" s="47"/>
      <c r="M178" s="47">
        <v>1</v>
      </c>
      <c r="N178" s="47">
        <v>2</v>
      </c>
      <c r="O178" s="47"/>
      <c r="P178" s="47"/>
      <c r="Q178" s="47"/>
      <c r="R178" s="47"/>
      <c r="S178" s="47"/>
      <c r="T178" s="47"/>
      <c r="U178" s="47"/>
      <c r="V178" s="47"/>
      <c r="W178" s="47">
        <v>7</v>
      </c>
      <c r="X178" s="47"/>
      <c r="Y178" s="47"/>
      <c r="Z178" s="47">
        <v>7</v>
      </c>
      <c r="AA178" s="47">
        <v>7</v>
      </c>
      <c r="AB178" s="47">
        <v>2</v>
      </c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28">
        <f t="shared" si="2"/>
        <v>26</v>
      </c>
      <c r="AN178" s="28"/>
    </row>
    <row r="179" spans="1:40">
      <c r="A179" s="28">
        <v>177</v>
      </c>
      <c r="B179" s="29">
        <v>501276</v>
      </c>
      <c r="C179" s="28" t="s">
        <v>249</v>
      </c>
      <c r="D179" s="28"/>
      <c r="E179" s="28">
        <v>20250502</v>
      </c>
      <c r="F179" s="28"/>
      <c r="G179" s="29" t="s">
        <v>51</v>
      </c>
      <c r="H179" s="30" t="s">
        <v>78</v>
      </c>
      <c r="I179" s="28" t="s">
        <v>79</v>
      </c>
      <c r="J179" s="28" t="s">
        <v>58</v>
      </c>
      <c r="K179" s="47"/>
      <c r="L179" s="47">
        <v>2</v>
      </c>
      <c r="M179" s="47"/>
      <c r="N179" s="47"/>
      <c r="O179" s="47"/>
      <c r="P179" s="47"/>
      <c r="Q179" s="47"/>
      <c r="R179" s="47"/>
      <c r="S179" s="47"/>
      <c r="T179" s="47"/>
      <c r="U179" s="47">
        <v>2</v>
      </c>
      <c r="V179" s="47">
        <v>7</v>
      </c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28">
        <f t="shared" si="2"/>
        <v>11</v>
      </c>
      <c r="AN179" s="28"/>
    </row>
    <row r="180" spans="1:40">
      <c r="A180" s="28">
        <v>178</v>
      </c>
      <c r="B180" s="29">
        <v>501281</v>
      </c>
      <c r="C180" s="28" t="s">
        <v>253</v>
      </c>
      <c r="D180" s="28"/>
      <c r="E180" s="28">
        <v>20250508</v>
      </c>
      <c r="F180" s="28"/>
      <c r="G180" s="29" t="s">
        <v>51</v>
      </c>
      <c r="H180" s="30" t="s">
        <v>78</v>
      </c>
      <c r="I180" s="28" t="s">
        <v>79</v>
      </c>
      <c r="J180" s="28" t="s">
        <v>58</v>
      </c>
      <c r="K180" s="47"/>
      <c r="L180" s="47"/>
      <c r="M180" s="47"/>
      <c r="N180" s="47">
        <v>1.5</v>
      </c>
      <c r="O180" s="47"/>
      <c r="P180" s="47">
        <v>1.5</v>
      </c>
      <c r="Q180" s="47">
        <v>2.5</v>
      </c>
      <c r="R180" s="47"/>
      <c r="S180" s="47">
        <v>1.5</v>
      </c>
      <c r="T180" s="47"/>
      <c r="U180" s="47"/>
      <c r="V180" s="47"/>
      <c r="W180" s="47">
        <v>8</v>
      </c>
      <c r="X180" s="47">
        <v>3.5</v>
      </c>
      <c r="Y180" s="47"/>
      <c r="Z180" s="47">
        <v>8</v>
      </c>
      <c r="AA180" s="47">
        <v>8</v>
      </c>
      <c r="AB180" s="47">
        <v>1</v>
      </c>
      <c r="AC180" s="47">
        <v>1</v>
      </c>
      <c r="AD180" s="47">
        <v>1</v>
      </c>
      <c r="AE180" s="47">
        <v>2.5</v>
      </c>
      <c r="AF180" s="47"/>
      <c r="AG180" s="47">
        <v>1</v>
      </c>
      <c r="AH180" s="47">
        <v>1</v>
      </c>
      <c r="AI180" s="47"/>
      <c r="AJ180" s="47"/>
      <c r="AK180" s="47"/>
      <c r="AL180" s="47"/>
      <c r="AM180" s="28">
        <f t="shared" si="2"/>
        <v>42</v>
      </c>
      <c r="AN180" s="28"/>
    </row>
    <row r="181" spans="1:40">
      <c r="A181" s="28">
        <v>179</v>
      </c>
      <c r="B181" s="29">
        <v>501303</v>
      </c>
      <c r="C181" s="28" t="s">
        <v>265</v>
      </c>
      <c r="D181" s="28"/>
      <c r="E181" s="28">
        <v>20251028</v>
      </c>
      <c r="F181" s="28"/>
      <c r="G181" s="29" t="s">
        <v>51</v>
      </c>
      <c r="H181" s="30" t="s">
        <v>78</v>
      </c>
      <c r="I181" s="28" t="s">
        <v>79</v>
      </c>
      <c r="J181" s="28" t="s">
        <v>58</v>
      </c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>
        <v>7</v>
      </c>
      <c r="AA181" s="47">
        <v>7</v>
      </c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28">
        <f t="shared" si="2"/>
        <v>14</v>
      </c>
      <c r="AN181" s="28"/>
    </row>
    <row r="182" spans="1:40">
      <c r="A182" s="28">
        <v>180</v>
      </c>
      <c r="B182" s="29">
        <v>501314</v>
      </c>
      <c r="C182" s="28" t="s">
        <v>275</v>
      </c>
      <c r="D182" s="28"/>
      <c r="E182" s="28">
        <v>20260105</v>
      </c>
      <c r="F182" s="28"/>
      <c r="G182" s="29" t="s">
        <v>51</v>
      </c>
      <c r="H182" s="30" t="s">
        <v>78</v>
      </c>
      <c r="I182" s="28" t="s">
        <v>79</v>
      </c>
      <c r="J182" s="28" t="s">
        <v>58</v>
      </c>
      <c r="K182" s="47"/>
      <c r="L182" s="47">
        <v>2</v>
      </c>
      <c r="M182" s="47">
        <v>2</v>
      </c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28">
        <f t="shared" si="2"/>
        <v>4</v>
      </c>
      <c r="AN182" s="28"/>
    </row>
    <row r="183" spans="1:40">
      <c r="A183" s="28">
        <v>181</v>
      </c>
      <c r="B183" s="29">
        <v>500383</v>
      </c>
      <c r="C183" s="28" t="s">
        <v>127</v>
      </c>
      <c r="D183" s="28"/>
      <c r="E183" s="28">
        <v>20161003</v>
      </c>
      <c r="F183" s="28"/>
      <c r="G183" s="29" t="s">
        <v>51</v>
      </c>
      <c r="H183" s="30" t="s">
        <v>128</v>
      </c>
      <c r="I183" s="28" t="s">
        <v>129</v>
      </c>
      <c r="J183" s="28" t="s">
        <v>58</v>
      </c>
      <c r="K183" s="47"/>
      <c r="L183" s="47"/>
      <c r="M183" s="47"/>
      <c r="N183" s="47"/>
      <c r="O183" s="47"/>
      <c r="P183" s="47"/>
      <c r="Q183" s="47">
        <v>5</v>
      </c>
      <c r="R183" s="47"/>
      <c r="S183" s="47">
        <v>2</v>
      </c>
      <c r="T183" s="47">
        <v>2</v>
      </c>
      <c r="U183" s="47">
        <v>1</v>
      </c>
      <c r="V183" s="47">
        <v>8</v>
      </c>
      <c r="W183" s="47">
        <v>8</v>
      </c>
      <c r="X183" s="47">
        <v>5</v>
      </c>
      <c r="Y183" s="47"/>
      <c r="Z183" s="47"/>
      <c r="AA183" s="47"/>
      <c r="AB183" s="47"/>
      <c r="AC183" s="47"/>
      <c r="AD183" s="47">
        <v>2</v>
      </c>
      <c r="AE183" s="47"/>
      <c r="AF183" s="47"/>
      <c r="AG183" s="47"/>
      <c r="AH183" s="47"/>
      <c r="AI183" s="47">
        <v>2</v>
      </c>
      <c r="AJ183" s="47">
        <v>1</v>
      </c>
      <c r="AK183" s="47"/>
      <c r="AL183" s="47">
        <v>3</v>
      </c>
      <c r="AM183" s="28">
        <f t="shared" si="2"/>
        <v>39</v>
      </c>
      <c r="AN183" s="28"/>
    </row>
    <row r="184" spans="1:40">
      <c r="A184" s="28">
        <v>182</v>
      </c>
      <c r="B184" s="29">
        <v>500429</v>
      </c>
      <c r="C184" s="28" t="s">
        <v>136</v>
      </c>
      <c r="D184" s="28"/>
      <c r="E184" s="28">
        <v>20161208</v>
      </c>
      <c r="F184" s="28"/>
      <c r="G184" s="29" t="s">
        <v>51</v>
      </c>
      <c r="H184" s="30" t="s">
        <v>128</v>
      </c>
      <c r="I184" s="28" t="s">
        <v>129</v>
      </c>
      <c r="J184" s="28" t="s">
        <v>58</v>
      </c>
      <c r="K184" s="47"/>
      <c r="L184" s="47">
        <v>2</v>
      </c>
      <c r="M184" s="47">
        <v>2</v>
      </c>
      <c r="N184" s="47"/>
      <c r="O184" s="47"/>
      <c r="P184" s="47">
        <v>2</v>
      </c>
      <c r="Q184" s="47"/>
      <c r="R184" s="47"/>
      <c r="S184" s="47">
        <v>2</v>
      </c>
      <c r="T184" s="47">
        <v>2</v>
      </c>
      <c r="U184" s="47">
        <v>2</v>
      </c>
      <c r="V184" s="47">
        <v>7</v>
      </c>
      <c r="W184" s="47">
        <v>7</v>
      </c>
      <c r="X184" s="47"/>
      <c r="Y184" s="47"/>
      <c r="Z184" s="47">
        <v>7</v>
      </c>
      <c r="AA184" s="47">
        <v>7</v>
      </c>
      <c r="AB184" s="47"/>
      <c r="AC184" s="47"/>
      <c r="AD184" s="47"/>
      <c r="AE184" s="47"/>
      <c r="AF184" s="47"/>
      <c r="AG184" s="47">
        <v>2</v>
      </c>
      <c r="AH184" s="47">
        <v>2</v>
      </c>
      <c r="AI184" s="47">
        <v>2</v>
      </c>
      <c r="AJ184" s="47">
        <v>2</v>
      </c>
      <c r="AK184" s="47"/>
      <c r="AL184" s="47"/>
      <c r="AM184" s="28">
        <f t="shared" si="2"/>
        <v>48</v>
      </c>
      <c r="AN184" s="28"/>
    </row>
    <row r="185" spans="1:40">
      <c r="A185" s="28">
        <v>183</v>
      </c>
      <c r="B185" s="29">
        <v>500502</v>
      </c>
      <c r="C185" s="28" t="s">
        <v>142</v>
      </c>
      <c r="D185" s="28"/>
      <c r="E185" s="28">
        <v>20170314</v>
      </c>
      <c r="F185" s="28"/>
      <c r="G185" s="29" t="s">
        <v>51</v>
      </c>
      <c r="H185" s="30" t="s">
        <v>128</v>
      </c>
      <c r="I185" s="28" t="s">
        <v>129</v>
      </c>
      <c r="J185" s="28" t="s">
        <v>58</v>
      </c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>
        <v>2</v>
      </c>
      <c r="V185" s="47">
        <v>7</v>
      </c>
      <c r="W185" s="47">
        <v>7</v>
      </c>
      <c r="X185" s="47"/>
      <c r="Y185" s="47"/>
      <c r="Z185" s="47">
        <v>7</v>
      </c>
      <c r="AA185" s="47"/>
      <c r="AB185" s="47"/>
      <c r="AC185" s="47"/>
      <c r="AD185" s="47"/>
      <c r="AE185" s="47"/>
      <c r="AF185" s="47"/>
      <c r="AG185" s="47"/>
      <c r="AH185" s="47"/>
      <c r="AI185" s="47">
        <v>2</v>
      </c>
      <c r="AJ185" s="47"/>
      <c r="AK185" s="47"/>
      <c r="AL185" s="47"/>
      <c r="AM185" s="28">
        <f t="shared" si="2"/>
        <v>25</v>
      </c>
      <c r="AN185" s="28"/>
    </row>
    <row r="186" spans="1:40">
      <c r="A186" s="28">
        <v>184</v>
      </c>
      <c r="B186" s="29">
        <v>500504</v>
      </c>
      <c r="C186" s="28" t="s">
        <v>143</v>
      </c>
      <c r="D186" s="28"/>
      <c r="E186" s="28">
        <v>20170314</v>
      </c>
      <c r="F186" s="28"/>
      <c r="G186" s="29" t="s">
        <v>51</v>
      </c>
      <c r="H186" s="30" t="s">
        <v>128</v>
      </c>
      <c r="I186" s="28" t="s">
        <v>129</v>
      </c>
      <c r="J186" s="28" t="s">
        <v>58</v>
      </c>
      <c r="K186" s="47"/>
      <c r="L186" s="47"/>
      <c r="M186" s="47">
        <v>2</v>
      </c>
      <c r="N186" s="47">
        <v>2</v>
      </c>
      <c r="O186" s="47"/>
      <c r="P186" s="47"/>
      <c r="Q186" s="47">
        <v>5</v>
      </c>
      <c r="R186" s="47"/>
      <c r="S186" s="47"/>
      <c r="T186" s="47">
        <v>2</v>
      </c>
      <c r="U186" s="47">
        <v>2</v>
      </c>
      <c r="V186" s="47">
        <v>8</v>
      </c>
      <c r="W186" s="47">
        <v>8</v>
      </c>
      <c r="X186" s="47"/>
      <c r="Y186" s="47"/>
      <c r="Z186" s="47">
        <v>8</v>
      </c>
      <c r="AA186" s="47">
        <v>8</v>
      </c>
      <c r="AB186" s="47"/>
      <c r="AC186" s="47"/>
      <c r="AD186" s="47"/>
      <c r="AE186" s="47">
        <v>2.5</v>
      </c>
      <c r="AF186" s="47"/>
      <c r="AG186" s="47"/>
      <c r="AH186" s="47"/>
      <c r="AI186" s="47">
        <v>2</v>
      </c>
      <c r="AJ186" s="47"/>
      <c r="AK186" s="47"/>
      <c r="AL186" s="47"/>
      <c r="AM186" s="28">
        <f t="shared" si="2"/>
        <v>49.5</v>
      </c>
      <c r="AN186" s="28"/>
    </row>
    <row r="187" spans="1:40">
      <c r="A187" s="28">
        <v>185</v>
      </c>
      <c r="B187" s="29">
        <v>500534</v>
      </c>
      <c r="C187" s="28" t="s">
        <v>150</v>
      </c>
      <c r="D187" s="28"/>
      <c r="E187" s="28">
        <v>20170511</v>
      </c>
      <c r="F187" s="28"/>
      <c r="G187" s="29" t="s">
        <v>51</v>
      </c>
      <c r="H187" s="30" t="s">
        <v>128</v>
      </c>
      <c r="I187" s="28" t="s">
        <v>129</v>
      </c>
      <c r="J187" s="28" t="s">
        <v>58</v>
      </c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>
        <v>7</v>
      </c>
      <c r="W187" s="47">
        <v>7</v>
      </c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>
        <v>2</v>
      </c>
      <c r="AI187" s="47">
        <v>2</v>
      </c>
      <c r="AJ187" s="47"/>
      <c r="AK187" s="47"/>
      <c r="AL187" s="47"/>
      <c r="AM187" s="28">
        <f t="shared" si="2"/>
        <v>18</v>
      </c>
      <c r="AN187" s="28"/>
    </row>
    <row r="188" spans="1:40">
      <c r="A188" s="28">
        <v>186</v>
      </c>
      <c r="B188" s="29">
        <v>500590</v>
      </c>
      <c r="C188" s="28" t="s">
        <v>155</v>
      </c>
      <c r="D188" s="28"/>
      <c r="E188" s="28">
        <v>20170803</v>
      </c>
      <c r="F188" s="28"/>
      <c r="G188" s="29" t="s">
        <v>51</v>
      </c>
      <c r="H188" s="30" t="s">
        <v>128</v>
      </c>
      <c r="I188" s="28" t="s">
        <v>129</v>
      </c>
      <c r="J188" s="28" t="s">
        <v>58</v>
      </c>
      <c r="K188" s="47"/>
      <c r="L188" s="47"/>
      <c r="M188" s="47"/>
      <c r="N188" s="47"/>
      <c r="O188" s="47"/>
      <c r="P188" s="47"/>
      <c r="Q188" s="47">
        <v>2</v>
      </c>
      <c r="R188" s="47"/>
      <c r="S188" s="47"/>
      <c r="T188" s="47">
        <v>1.5</v>
      </c>
      <c r="U188" s="47">
        <v>1.5</v>
      </c>
      <c r="V188" s="47"/>
      <c r="W188" s="47">
        <v>7</v>
      </c>
      <c r="X188" s="47"/>
      <c r="Y188" s="47"/>
      <c r="Z188" s="47"/>
      <c r="AA188" s="47">
        <v>7</v>
      </c>
      <c r="AB188" s="47">
        <v>2</v>
      </c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28">
        <f t="shared" si="2"/>
        <v>21</v>
      </c>
      <c r="AN188" s="28"/>
    </row>
    <row r="189" spans="1:40">
      <c r="A189" s="28">
        <v>187</v>
      </c>
      <c r="B189" s="29">
        <v>500772</v>
      </c>
      <c r="C189" s="28" t="s">
        <v>166</v>
      </c>
      <c r="D189" s="28"/>
      <c r="E189" s="28">
        <v>20180710</v>
      </c>
      <c r="F189" s="28"/>
      <c r="G189" s="29" t="s">
        <v>51</v>
      </c>
      <c r="H189" s="30" t="s">
        <v>128</v>
      </c>
      <c r="I189" s="28" t="s">
        <v>129</v>
      </c>
      <c r="J189" s="28" t="s">
        <v>58</v>
      </c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>
        <v>7</v>
      </c>
      <c r="W189" s="47">
        <v>7</v>
      </c>
      <c r="X189" s="47"/>
      <c r="Y189" s="47"/>
      <c r="Z189" s="47">
        <v>7</v>
      </c>
      <c r="AA189" s="47">
        <v>7</v>
      </c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28">
        <f t="shared" si="2"/>
        <v>28</v>
      </c>
      <c r="AN189" s="28"/>
    </row>
    <row r="190" spans="1:40">
      <c r="A190" s="28">
        <v>188</v>
      </c>
      <c r="B190" s="29">
        <v>500825</v>
      </c>
      <c r="C190" s="28" t="s">
        <v>173</v>
      </c>
      <c r="D190" s="28"/>
      <c r="E190" s="28">
        <v>20181211</v>
      </c>
      <c r="F190" s="28"/>
      <c r="G190" s="29" t="s">
        <v>51</v>
      </c>
      <c r="H190" s="30" t="s">
        <v>128</v>
      </c>
      <c r="I190" s="28" t="s">
        <v>129</v>
      </c>
      <c r="J190" s="28" t="s">
        <v>58</v>
      </c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>
        <v>7</v>
      </c>
      <c r="W190" s="47">
        <v>7</v>
      </c>
      <c r="X190" s="47"/>
      <c r="Y190" s="47"/>
      <c r="Z190" s="47">
        <v>7</v>
      </c>
      <c r="AA190" s="47">
        <v>7</v>
      </c>
      <c r="AB190" s="47"/>
      <c r="AC190" s="47"/>
      <c r="AD190" s="47"/>
      <c r="AE190" s="47"/>
      <c r="AF190" s="47"/>
      <c r="AG190" s="47"/>
      <c r="AH190" s="47"/>
      <c r="AI190" s="47">
        <v>2</v>
      </c>
      <c r="AJ190" s="47"/>
      <c r="AK190" s="47"/>
      <c r="AL190" s="47"/>
      <c r="AM190" s="28">
        <f t="shared" si="2"/>
        <v>30</v>
      </c>
      <c r="AN190" s="28"/>
    </row>
    <row r="191" spans="1:40">
      <c r="A191" s="28">
        <v>189</v>
      </c>
      <c r="B191" s="29">
        <v>501274</v>
      </c>
      <c r="C191" s="28" t="s">
        <v>247</v>
      </c>
      <c r="D191" s="28"/>
      <c r="E191" s="28">
        <v>20250423</v>
      </c>
      <c r="F191" s="28"/>
      <c r="G191" s="29" t="s">
        <v>51</v>
      </c>
      <c r="H191" s="30" t="s">
        <v>128</v>
      </c>
      <c r="I191" s="28" t="s">
        <v>129</v>
      </c>
      <c r="J191" s="28" t="s">
        <v>58</v>
      </c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>
        <v>7</v>
      </c>
      <c r="W191" s="47">
        <v>7</v>
      </c>
      <c r="X191" s="47"/>
      <c r="Y191" s="47"/>
      <c r="Z191" s="47">
        <v>7</v>
      </c>
      <c r="AA191" s="47">
        <v>7</v>
      </c>
      <c r="AB191" s="47"/>
      <c r="AC191" s="47"/>
      <c r="AD191" s="47"/>
      <c r="AE191" s="47"/>
      <c r="AF191" s="47"/>
      <c r="AG191" s="47"/>
      <c r="AH191" s="47"/>
      <c r="AI191" s="47">
        <v>2</v>
      </c>
      <c r="AJ191" s="47"/>
      <c r="AK191" s="47"/>
      <c r="AL191" s="47"/>
      <c r="AM191" s="28">
        <f t="shared" si="2"/>
        <v>30</v>
      </c>
      <c r="AN191" s="28"/>
    </row>
    <row r="192" spans="1:40">
      <c r="A192" s="28">
        <v>190</v>
      </c>
      <c r="B192" s="29">
        <v>501286</v>
      </c>
      <c r="C192" s="28" t="s">
        <v>257</v>
      </c>
      <c r="D192" s="28"/>
      <c r="E192" s="28">
        <v>20250605</v>
      </c>
      <c r="F192" s="28"/>
      <c r="G192" s="29" t="s">
        <v>51</v>
      </c>
      <c r="H192" s="30" t="s">
        <v>128</v>
      </c>
      <c r="I192" s="28" t="s">
        <v>129</v>
      </c>
      <c r="J192" s="28" t="s">
        <v>58</v>
      </c>
      <c r="K192" s="47"/>
      <c r="L192" s="47">
        <v>2</v>
      </c>
      <c r="M192" s="47"/>
      <c r="N192" s="47">
        <v>2</v>
      </c>
      <c r="O192" s="47"/>
      <c r="P192" s="47">
        <v>2</v>
      </c>
      <c r="Q192" s="47">
        <v>2</v>
      </c>
      <c r="R192" s="47"/>
      <c r="S192" s="47">
        <v>1</v>
      </c>
      <c r="T192" s="47"/>
      <c r="U192" s="47">
        <v>2</v>
      </c>
      <c r="V192" s="47">
        <v>7</v>
      </c>
      <c r="W192" s="47">
        <v>7</v>
      </c>
      <c r="X192" s="47"/>
      <c r="Y192" s="47"/>
      <c r="Z192" s="47">
        <v>7</v>
      </c>
      <c r="AA192" s="47"/>
      <c r="AB192" s="47"/>
      <c r="AC192" s="47"/>
      <c r="AD192" s="47"/>
      <c r="AE192" s="47"/>
      <c r="AF192" s="47"/>
      <c r="AG192" s="47">
        <v>2</v>
      </c>
      <c r="AH192" s="47"/>
      <c r="AI192" s="47">
        <v>2</v>
      </c>
      <c r="AJ192" s="47">
        <v>2</v>
      </c>
      <c r="AK192" s="47"/>
      <c r="AL192" s="47"/>
      <c r="AM192" s="28">
        <f t="shared" si="2"/>
        <v>38</v>
      </c>
      <c r="AN192" s="28"/>
    </row>
    <row r="193" spans="1:40">
      <c r="A193" s="28">
        <v>191</v>
      </c>
      <c r="B193" s="29">
        <v>501305</v>
      </c>
      <c r="C193" s="28" t="s">
        <v>267</v>
      </c>
      <c r="D193" s="28"/>
      <c r="E193" s="28">
        <v>20251106</v>
      </c>
      <c r="F193" s="28"/>
      <c r="G193" s="29" t="s">
        <v>51</v>
      </c>
      <c r="H193" s="30" t="s">
        <v>128</v>
      </c>
      <c r="I193" s="28" t="s">
        <v>129</v>
      </c>
      <c r="J193" s="28" t="s">
        <v>58</v>
      </c>
      <c r="K193" s="47"/>
      <c r="L193" s="47"/>
      <c r="M193" s="47"/>
      <c r="N193" s="47"/>
      <c r="O193" s="47"/>
      <c r="P193" s="47"/>
      <c r="Q193" s="47">
        <v>1</v>
      </c>
      <c r="R193" s="47"/>
      <c r="S193" s="47"/>
      <c r="T193" s="47"/>
      <c r="U193" s="47"/>
      <c r="V193" s="47">
        <v>7</v>
      </c>
      <c r="W193" s="47">
        <v>7</v>
      </c>
      <c r="X193" s="47"/>
      <c r="Y193" s="47"/>
      <c r="Z193" s="47"/>
      <c r="AA193" s="47">
        <v>7</v>
      </c>
      <c r="AB193" s="47"/>
      <c r="AC193" s="47"/>
      <c r="AD193" s="47"/>
      <c r="AE193" s="47"/>
      <c r="AF193" s="47"/>
      <c r="AG193" s="47"/>
      <c r="AH193" s="47"/>
      <c r="AI193" s="47">
        <v>2</v>
      </c>
      <c r="AJ193" s="47"/>
      <c r="AK193" s="47"/>
      <c r="AL193" s="47"/>
      <c r="AM193" s="28">
        <f t="shared" si="2"/>
        <v>24</v>
      </c>
      <c r="AN193" s="28"/>
    </row>
    <row r="194" spans="1:40">
      <c r="A194" s="28">
        <v>192</v>
      </c>
      <c r="B194" s="29">
        <v>501306</v>
      </c>
      <c r="C194" s="28" t="s">
        <v>268</v>
      </c>
      <c r="D194" s="28"/>
      <c r="E194" s="28">
        <v>20251106</v>
      </c>
      <c r="F194" s="28"/>
      <c r="G194" s="29" t="s">
        <v>51</v>
      </c>
      <c r="H194" s="30" t="s">
        <v>128</v>
      </c>
      <c r="I194" s="28" t="s">
        <v>129</v>
      </c>
      <c r="J194" s="28" t="s">
        <v>58</v>
      </c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>
        <v>7</v>
      </c>
      <c r="W194" s="47">
        <v>7</v>
      </c>
      <c r="X194" s="47"/>
      <c r="Y194" s="47"/>
      <c r="Z194" s="47">
        <v>7</v>
      </c>
      <c r="AA194" s="47"/>
      <c r="AB194" s="47"/>
      <c r="AC194" s="47"/>
      <c r="AD194" s="47"/>
      <c r="AE194" s="47"/>
      <c r="AF194" s="47"/>
      <c r="AG194" s="47"/>
      <c r="AH194" s="47"/>
      <c r="AI194" s="47">
        <v>2</v>
      </c>
      <c r="AJ194" s="47"/>
      <c r="AK194" s="47"/>
      <c r="AL194" s="47"/>
      <c r="AM194" s="28">
        <f t="shared" si="2"/>
        <v>23</v>
      </c>
      <c r="AN194" s="28"/>
    </row>
    <row r="195" spans="1:40">
      <c r="A195" s="28">
        <v>193</v>
      </c>
      <c r="B195" s="29">
        <v>501318</v>
      </c>
      <c r="C195" s="28" t="s">
        <v>420</v>
      </c>
      <c r="D195" s="28"/>
      <c r="E195" s="28">
        <v>20260226</v>
      </c>
      <c r="F195" s="28"/>
      <c r="G195" s="29" t="s">
        <v>51</v>
      </c>
      <c r="H195" s="30" t="s">
        <v>128</v>
      </c>
      <c r="I195" s="28" t="s">
        <v>129</v>
      </c>
      <c r="J195" s="28" t="s">
        <v>58</v>
      </c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>
        <f t="shared" ref="AM195:AM258" si="3">SUM(K195:AL195)</f>
        <v>0</v>
      </c>
      <c r="AN195" s="28"/>
    </row>
    <row r="196" spans="1:40">
      <c r="A196" s="28">
        <v>194</v>
      </c>
      <c r="B196" s="29">
        <v>100525</v>
      </c>
      <c r="C196" s="28" t="s">
        <v>50</v>
      </c>
      <c r="D196" s="28"/>
      <c r="E196" s="28">
        <v>20150706</v>
      </c>
      <c r="F196" s="28"/>
      <c r="G196" s="29" t="s">
        <v>51</v>
      </c>
      <c r="H196" s="30" t="s">
        <v>52</v>
      </c>
      <c r="I196" s="28" t="s">
        <v>53</v>
      </c>
      <c r="J196" s="28" t="s">
        <v>54</v>
      </c>
      <c r="K196" s="47"/>
      <c r="L196" s="47"/>
      <c r="M196" s="47"/>
      <c r="N196" s="47"/>
      <c r="O196" s="47"/>
      <c r="P196" s="47"/>
      <c r="Q196" s="47">
        <v>5</v>
      </c>
      <c r="R196" s="47"/>
      <c r="S196" s="47"/>
      <c r="T196" s="47">
        <v>2</v>
      </c>
      <c r="U196" s="47"/>
      <c r="V196" s="47"/>
      <c r="W196" s="47"/>
      <c r="X196" s="47"/>
      <c r="Y196" s="47"/>
      <c r="Z196" s="47"/>
      <c r="AA196" s="47">
        <v>8</v>
      </c>
      <c r="AB196" s="47"/>
      <c r="AC196" s="47">
        <v>2</v>
      </c>
      <c r="AD196" s="47">
        <v>2</v>
      </c>
      <c r="AE196" s="47">
        <v>5</v>
      </c>
      <c r="AF196" s="47"/>
      <c r="AG196" s="47"/>
      <c r="AH196" s="47"/>
      <c r="AI196" s="47"/>
      <c r="AJ196" s="47"/>
      <c r="AK196" s="47"/>
      <c r="AL196" s="47">
        <v>5</v>
      </c>
      <c r="AM196" s="28">
        <f t="shared" si="3"/>
        <v>29</v>
      </c>
      <c r="AN196" s="28"/>
    </row>
    <row r="197" spans="1:40">
      <c r="A197" s="28">
        <v>195</v>
      </c>
      <c r="B197" s="29">
        <v>500368</v>
      </c>
      <c r="C197" s="28" t="s">
        <v>124</v>
      </c>
      <c r="D197" s="28"/>
      <c r="E197" s="28">
        <v>20160906</v>
      </c>
      <c r="F197" s="28"/>
      <c r="G197" s="29" t="s">
        <v>51</v>
      </c>
      <c r="H197" s="30" t="s">
        <v>52</v>
      </c>
      <c r="I197" s="28" t="s">
        <v>53</v>
      </c>
      <c r="J197" s="28" t="s">
        <v>54</v>
      </c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>
        <v>1</v>
      </c>
      <c r="AJ197" s="47"/>
      <c r="AK197" s="47"/>
      <c r="AL197" s="47"/>
      <c r="AM197" s="28">
        <f t="shared" si="3"/>
        <v>1</v>
      </c>
      <c r="AN197" s="28"/>
    </row>
    <row r="198" spans="1:40">
      <c r="A198" s="28">
        <v>196</v>
      </c>
      <c r="B198" s="29">
        <v>500372</v>
      </c>
      <c r="C198" s="28" t="s">
        <v>125</v>
      </c>
      <c r="D198" s="28"/>
      <c r="E198" s="28">
        <v>20160915</v>
      </c>
      <c r="F198" s="28"/>
      <c r="G198" s="29" t="s">
        <v>51</v>
      </c>
      <c r="H198" s="30" t="s">
        <v>52</v>
      </c>
      <c r="I198" s="28" t="s">
        <v>53</v>
      </c>
      <c r="J198" s="28" t="s">
        <v>54</v>
      </c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>
        <v>7</v>
      </c>
      <c r="W198" s="47">
        <v>7</v>
      </c>
      <c r="X198" s="47"/>
      <c r="Y198" s="47"/>
      <c r="Z198" s="47">
        <v>7</v>
      </c>
      <c r="AA198" s="47">
        <v>7</v>
      </c>
      <c r="AB198" s="47"/>
      <c r="AC198" s="47"/>
      <c r="AD198" s="47"/>
      <c r="AE198" s="47"/>
      <c r="AF198" s="47"/>
      <c r="AG198" s="47"/>
      <c r="AH198" s="47"/>
      <c r="AI198" s="47">
        <v>2</v>
      </c>
      <c r="AJ198" s="47">
        <v>2</v>
      </c>
      <c r="AK198" s="47"/>
      <c r="AL198" s="47"/>
      <c r="AM198" s="28">
        <f t="shared" si="3"/>
        <v>32</v>
      </c>
      <c r="AN198" s="28"/>
    </row>
    <row r="199" spans="1:40">
      <c r="A199" s="28">
        <v>197</v>
      </c>
      <c r="B199" s="29">
        <v>500776</v>
      </c>
      <c r="C199" s="28" t="s">
        <v>167</v>
      </c>
      <c r="D199" s="28"/>
      <c r="E199" s="28">
        <v>20180710</v>
      </c>
      <c r="F199" s="28"/>
      <c r="G199" s="29" t="s">
        <v>51</v>
      </c>
      <c r="H199" s="30" t="s">
        <v>52</v>
      </c>
      <c r="I199" s="28" t="s">
        <v>53</v>
      </c>
      <c r="J199" s="28" t="s">
        <v>54</v>
      </c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>
        <v>8</v>
      </c>
      <c r="W199" s="47">
        <v>8</v>
      </c>
      <c r="X199" s="47"/>
      <c r="Y199" s="47"/>
      <c r="Z199" s="47">
        <v>8</v>
      </c>
      <c r="AA199" s="47"/>
      <c r="AB199" s="47"/>
      <c r="AC199" s="47"/>
      <c r="AD199" s="47"/>
      <c r="AE199" s="47"/>
      <c r="AF199" s="47"/>
      <c r="AG199" s="47"/>
      <c r="AH199" s="47"/>
      <c r="AI199" s="47"/>
      <c r="AJ199" s="47">
        <v>2</v>
      </c>
      <c r="AK199" s="47">
        <v>2</v>
      </c>
      <c r="AL199" s="47"/>
      <c r="AM199" s="28">
        <f t="shared" si="3"/>
        <v>28</v>
      </c>
      <c r="AN199" s="28"/>
    </row>
    <row r="200" spans="1:40">
      <c r="A200" s="28">
        <v>198</v>
      </c>
      <c r="B200" s="29">
        <v>500830</v>
      </c>
      <c r="C200" s="28" t="s">
        <v>83</v>
      </c>
      <c r="D200" s="28"/>
      <c r="E200" s="28">
        <v>20190108</v>
      </c>
      <c r="F200" s="28"/>
      <c r="G200" s="29" t="s">
        <v>51</v>
      </c>
      <c r="H200" s="30" t="s">
        <v>52</v>
      </c>
      <c r="I200" s="28" t="s">
        <v>53</v>
      </c>
      <c r="J200" s="28" t="s">
        <v>54</v>
      </c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28">
        <f t="shared" si="3"/>
        <v>0</v>
      </c>
      <c r="AN200" s="28"/>
    </row>
    <row r="201" spans="1:40">
      <c r="A201" s="28">
        <v>199</v>
      </c>
      <c r="B201" s="29">
        <v>500247</v>
      </c>
      <c r="C201" s="28" t="s">
        <v>276</v>
      </c>
      <c r="D201" s="28"/>
      <c r="E201" s="28">
        <v>20151229</v>
      </c>
      <c r="F201" s="28"/>
      <c r="G201" s="29" t="s">
        <v>277</v>
      </c>
      <c r="H201" s="28" t="s">
        <v>278</v>
      </c>
      <c r="I201" s="28" t="s">
        <v>279</v>
      </c>
      <c r="J201" s="28" t="s">
        <v>54</v>
      </c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28">
        <f t="shared" si="3"/>
        <v>0</v>
      </c>
      <c r="AN201" s="28"/>
    </row>
    <row r="202" spans="1:40">
      <c r="A202" s="28">
        <v>200</v>
      </c>
      <c r="B202" s="29">
        <v>501313</v>
      </c>
      <c r="C202" s="28" t="s">
        <v>280</v>
      </c>
      <c r="D202" s="28"/>
      <c r="E202" s="28">
        <v>20251121</v>
      </c>
      <c r="F202" s="28"/>
      <c r="G202" s="29" t="s">
        <v>277</v>
      </c>
      <c r="H202" s="28" t="s">
        <v>281</v>
      </c>
      <c r="I202" s="28" t="s">
        <v>282</v>
      </c>
      <c r="J202" s="28" t="s">
        <v>54</v>
      </c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28">
        <f t="shared" si="3"/>
        <v>0</v>
      </c>
      <c r="AN202" s="28"/>
    </row>
    <row r="203" spans="1:40">
      <c r="A203" s="28">
        <v>201</v>
      </c>
      <c r="B203" s="29">
        <v>100086</v>
      </c>
      <c r="C203" s="28" t="s">
        <v>284</v>
      </c>
      <c r="D203" s="28"/>
      <c r="E203" s="28">
        <v>20150305</v>
      </c>
      <c r="F203" s="28"/>
      <c r="G203" s="29" t="s">
        <v>283</v>
      </c>
      <c r="H203" s="28" t="s">
        <v>285</v>
      </c>
      <c r="I203" s="28" t="s">
        <v>286</v>
      </c>
      <c r="J203" s="28" t="s">
        <v>58</v>
      </c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>
        <v>4</v>
      </c>
      <c r="AM203" s="28">
        <f t="shared" si="3"/>
        <v>4</v>
      </c>
      <c r="AN203" s="28"/>
    </row>
    <row r="204" spans="1:40">
      <c r="A204" s="28">
        <v>202</v>
      </c>
      <c r="B204" s="29">
        <v>102440</v>
      </c>
      <c r="C204" s="28" t="s">
        <v>87</v>
      </c>
      <c r="D204" s="28"/>
      <c r="E204" s="28">
        <v>20160329</v>
      </c>
      <c r="F204" s="28"/>
      <c r="G204" s="29" t="s">
        <v>283</v>
      </c>
      <c r="H204" s="28" t="s">
        <v>285</v>
      </c>
      <c r="I204" s="28" t="s">
        <v>286</v>
      </c>
      <c r="J204" s="28" t="s">
        <v>58</v>
      </c>
      <c r="K204" s="47"/>
      <c r="L204" s="47">
        <v>2</v>
      </c>
      <c r="M204" s="47"/>
      <c r="N204" s="47">
        <v>2</v>
      </c>
      <c r="O204" s="47"/>
      <c r="P204" s="47"/>
      <c r="Q204" s="47">
        <v>5</v>
      </c>
      <c r="R204" s="47"/>
      <c r="S204" s="47">
        <v>2</v>
      </c>
      <c r="T204" s="47"/>
      <c r="U204" s="47"/>
      <c r="V204" s="47">
        <v>8</v>
      </c>
      <c r="W204" s="47">
        <v>8</v>
      </c>
      <c r="X204" s="47"/>
      <c r="Y204" s="47"/>
      <c r="Z204" s="47">
        <v>8</v>
      </c>
      <c r="AA204" s="47">
        <v>8</v>
      </c>
      <c r="AB204" s="47">
        <v>2</v>
      </c>
      <c r="AC204" s="47"/>
      <c r="AD204" s="47"/>
      <c r="AE204" s="47">
        <v>5</v>
      </c>
      <c r="AF204" s="47"/>
      <c r="AG204" s="47">
        <v>2</v>
      </c>
      <c r="AH204" s="47">
        <v>2</v>
      </c>
      <c r="AI204" s="47">
        <v>2</v>
      </c>
      <c r="AJ204" s="47">
        <v>2</v>
      </c>
      <c r="AK204" s="47">
        <v>2</v>
      </c>
      <c r="AL204" s="47">
        <v>5</v>
      </c>
      <c r="AM204" s="28">
        <f t="shared" si="3"/>
        <v>65</v>
      </c>
      <c r="AN204" s="28"/>
    </row>
    <row r="205" spans="1:40">
      <c r="A205" s="28">
        <v>203</v>
      </c>
      <c r="B205" s="29">
        <v>118691</v>
      </c>
      <c r="C205" s="28" t="s">
        <v>327</v>
      </c>
      <c r="D205" s="28"/>
      <c r="E205" s="28">
        <v>20191107</v>
      </c>
      <c r="F205" s="28"/>
      <c r="G205" s="29" t="s">
        <v>283</v>
      </c>
      <c r="H205" s="28" t="s">
        <v>285</v>
      </c>
      <c r="I205" s="28" t="s">
        <v>286</v>
      </c>
      <c r="J205" s="28" t="s">
        <v>58</v>
      </c>
      <c r="K205" s="47"/>
      <c r="L205" s="47"/>
      <c r="M205" s="47"/>
      <c r="N205" s="47"/>
      <c r="O205" s="47"/>
      <c r="P205" s="47"/>
      <c r="Q205" s="47"/>
      <c r="R205" s="47"/>
      <c r="S205" s="47"/>
      <c r="T205" s="47">
        <v>2</v>
      </c>
      <c r="U205" s="47">
        <v>2</v>
      </c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>
        <v>4</v>
      </c>
      <c r="AM205" s="28">
        <f t="shared" si="3"/>
        <v>8</v>
      </c>
      <c r="AN205" s="28"/>
    </row>
    <row r="206" spans="1:40">
      <c r="A206" s="28">
        <v>204</v>
      </c>
      <c r="B206" s="29">
        <v>119263</v>
      </c>
      <c r="C206" s="28" t="s">
        <v>329</v>
      </c>
      <c r="D206" s="28"/>
      <c r="E206" s="28">
        <v>20200114</v>
      </c>
      <c r="F206" s="28"/>
      <c r="G206" s="29" t="s">
        <v>283</v>
      </c>
      <c r="H206" s="28" t="s">
        <v>285</v>
      </c>
      <c r="I206" s="28" t="s">
        <v>286</v>
      </c>
      <c r="J206" s="28" t="s">
        <v>58</v>
      </c>
      <c r="K206" s="47"/>
      <c r="L206" s="47"/>
      <c r="M206" s="47"/>
      <c r="N206" s="47"/>
      <c r="O206" s="47"/>
      <c r="P206" s="47"/>
      <c r="Q206" s="47"/>
      <c r="R206" s="47"/>
      <c r="S206" s="47"/>
      <c r="T206" s="47">
        <v>2</v>
      </c>
      <c r="U206" s="47">
        <v>2</v>
      </c>
      <c r="V206" s="47"/>
      <c r="W206" s="47"/>
      <c r="X206" s="47">
        <v>5</v>
      </c>
      <c r="Y206" s="47"/>
      <c r="Z206" s="47"/>
      <c r="AA206" s="47"/>
      <c r="AB206" s="47">
        <v>2</v>
      </c>
      <c r="AC206" s="47">
        <v>2</v>
      </c>
      <c r="AD206" s="47">
        <v>2</v>
      </c>
      <c r="AE206" s="47">
        <v>5</v>
      </c>
      <c r="AF206" s="47"/>
      <c r="AG206" s="47">
        <v>2</v>
      </c>
      <c r="AH206" s="47"/>
      <c r="AI206" s="47"/>
      <c r="AJ206" s="47"/>
      <c r="AK206" s="47">
        <v>2</v>
      </c>
      <c r="AL206" s="47">
        <v>5</v>
      </c>
      <c r="AM206" s="28">
        <f t="shared" si="3"/>
        <v>29</v>
      </c>
      <c r="AN206" s="28"/>
    </row>
    <row r="207" spans="1:40">
      <c r="A207" s="28">
        <v>205</v>
      </c>
      <c r="B207" s="29">
        <v>120584</v>
      </c>
      <c r="C207" s="28" t="s">
        <v>331</v>
      </c>
      <c r="D207" s="28"/>
      <c r="E207" s="28">
        <v>20200330</v>
      </c>
      <c r="F207" s="28"/>
      <c r="G207" s="29" t="s">
        <v>283</v>
      </c>
      <c r="H207" s="28" t="s">
        <v>285</v>
      </c>
      <c r="I207" s="28" t="s">
        <v>286</v>
      </c>
      <c r="J207" s="28" t="s">
        <v>58</v>
      </c>
      <c r="K207" s="47"/>
      <c r="L207" s="47"/>
      <c r="M207" s="47">
        <v>2</v>
      </c>
      <c r="N207" s="47"/>
      <c r="O207" s="47"/>
      <c r="P207" s="47">
        <v>2</v>
      </c>
      <c r="Q207" s="47"/>
      <c r="R207" s="47"/>
      <c r="S207" s="47">
        <v>2</v>
      </c>
      <c r="T207" s="47">
        <v>2</v>
      </c>
      <c r="U207" s="47">
        <v>2</v>
      </c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>
        <v>2</v>
      </c>
      <c r="AK207" s="47"/>
      <c r="AL207" s="47">
        <v>4</v>
      </c>
      <c r="AM207" s="28">
        <f t="shared" si="3"/>
        <v>16</v>
      </c>
      <c r="AN207" s="28"/>
    </row>
    <row r="208" spans="1:40">
      <c r="A208" s="28">
        <v>206</v>
      </c>
      <c r="B208" s="29">
        <v>127745</v>
      </c>
      <c r="C208" s="28" t="s">
        <v>342</v>
      </c>
      <c r="D208" s="28"/>
      <c r="E208" s="28">
        <v>20220621</v>
      </c>
      <c r="F208" s="28"/>
      <c r="G208" s="29" t="s">
        <v>283</v>
      </c>
      <c r="H208" s="28" t="s">
        <v>285</v>
      </c>
      <c r="I208" s="28" t="s">
        <v>286</v>
      </c>
      <c r="J208" s="28" t="s">
        <v>54</v>
      </c>
      <c r="K208" s="47"/>
      <c r="L208" s="47">
        <v>1</v>
      </c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28">
        <f t="shared" si="3"/>
        <v>1</v>
      </c>
      <c r="AN208" s="28"/>
    </row>
    <row r="209" spans="1:40">
      <c r="A209" s="28">
        <v>207</v>
      </c>
      <c r="B209" s="29">
        <v>130797</v>
      </c>
      <c r="C209" s="28" t="s">
        <v>358</v>
      </c>
      <c r="D209" s="28"/>
      <c r="E209" s="28">
        <v>20240507</v>
      </c>
      <c r="F209" s="28"/>
      <c r="G209" s="29" t="s">
        <v>283</v>
      </c>
      <c r="H209" s="28" t="s">
        <v>285</v>
      </c>
      <c r="I209" s="28" t="s">
        <v>286</v>
      </c>
      <c r="J209" s="28" t="s">
        <v>58</v>
      </c>
      <c r="K209" s="47"/>
      <c r="L209" s="47"/>
      <c r="M209" s="47"/>
      <c r="N209" s="47"/>
      <c r="O209" s="47"/>
      <c r="P209" s="47"/>
      <c r="Q209" s="47"/>
      <c r="R209" s="47"/>
      <c r="S209" s="47"/>
      <c r="T209" s="47">
        <v>2</v>
      </c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>
        <v>4</v>
      </c>
      <c r="AM209" s="28">
        <f t="shared" si="3"/>
        <v>6</v>
      </c>
      <c r="AN209" s="28"/>
    </row>
    <row r="210" spans="1:40">
      <c r="A210" s="28">
        <v>208</v>
      </c>
      <c r="B210" s="29">
        <v>131983</v>
      </c>
      <c r="C210" s="28" t="s">
        <v>330</v>
      </c>
      <c r="D210" s="28"/>
      <c r="E210" s="28">
        <v>20240913</v>
      </c>
      <c r="F210" s="28"/>
      <c r="G210" s="29" t="s">
        <v>283</v>
      </c>
      <c r="H210" s="28" t="s">
        <v>285</v>
      </c>
      <c r="I210" s="28" t="s">
        <v>286</v>
      </c>
      <c r="J210" s="28" t="s">
        <v>54</v>
      </c>
      <c r="K210" s="47"/>
      <c r="L210" s="47">
        <v>1</v>
      </c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28">
        <f t="shared" si="3"/>
        <v>1</v>
      </c>
      <c r="AN210" s="28"/>
    </row>
    <row r="211" spans="1:40">
      <c r="A211" s="28">
        <v>209</v>
      </c>
      <c r="B211" s="29">
        <v>132446</v>
      </c>
      <c r="C211" s="28" t="s">
        <v>369</v>
      </c>
      <c r="D211" s="28"/>
      <c r="E211" s="28">
        <v>20241010</v>
      </c>
      <c r="F211" s="28"/>
      <c r="G211" s="29" t="s">
        <v>283</v>
      </c>
      <c r="H211" s="28" t="s">
        <v>285</v>
      </c>
      <c r="I211" s="28" t="s">
        <v>286</v>
      </c>
      <c r="J211" s="28" t="s">
        <v>54</v>
      </c>
      <c r="K211" s="47"/>
      <c r="L211" s="47">
        <v>1</v>
      </c>
      <c r="M211" s="47">
        <v>1</v>
      </c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28">
        <f t="shared" si="3"/>
        <v>2</v>
      </c>
      <c r="AN211" s="28"/>
    </row>
    <row r="212" spans="1:40">
      <c r="A212" s="28">
        <v>210</v>
      </c>
      <c r="B212" s="29">
        <v>132897</v>
      </c>
      <c r="C212" s="28" t="s">
        <v>372</v>
      </c>
      <c r="D212" s="28"/>
      <c r="E212" s="28">
        <v>20241108</v>
      </c>
      <c r="F212" s="28"/>
      <c r="G212" s="29" t="s">
        <v>283</v>
      </c>
      <c r="H212" s="28" t="s">
        <v>285</v>
      </c>
      <c r="I212" s="28" t="s">
        <v>286</v>
      </c>
      <c r="J212" s="28" t="s">
        <v>58</v>
      </c>
      <c r="K212" s="47"/>
      <c r="L212" s="47">
        <v>1</v>
      </c>
      <c r="M212" s="47"/>
      <c r="N212" s="47"/>
      <c r="O212" s="47"/>
      <c r="P212" s="47"/>
      <c r="Q212" s="47">
        <v>4</v>
      </c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28">
        <f t="shared" si="3"/>
        <v>5</v>
      </c>
      <c r="AN212" s="28"/>
    </row>
    <row r="213" spans="1:40">
      <c r="A213" s="28">
        <v>211</v>
      </c>
      <c r="B213" s="29">
        <v>133454</v>
      </c>
      <c r="C213" s="28" t="s">
        <v>378</v>
      </c>
      <c r="D213" s="28"/>
      <c r="E213" s="28">
        <v>20250106</v>
      </c>
      <c r="F213" s="28"/>
      <c r="G213" s="29" t="s">
        <v>283</v>
      </c>
      <c r="H213" s="28" t="s">
        <v>285</v>
      </c>
      <c r="I213" s="28" t="s">
        <v>286</v>
      </c>
      <c r="J213" s="28" t="s">
        <v>54</v>
      </c>
      <c r="K213" s="47"/>
      <c r="L213" s="47"/>
      <c r="M213" s="47">
        <v>1</v>
      </c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28">
        <f t="shared" si="3"/>
        <v>1</v>
      </c>
      <c r="AN213" s="28"/>
    </row>
    <row r="214" spans="1:40">
      <c r="A214" s="28">
        <v>212</v>
      </c>
      <c r="B214" s="29">
        <v>133543</v>
      </c>
      <c r="C214" s="28" t="s">
        <v>379</v>
      </c>
      <c r="D214" s="28"/>
      <c r="E214" s="28">
        <v>20250113</v>
      </c>
      <c r="F214" s="28"/>
      <c r="G214" s="29" t="s">
        <v>283</v>
      </c>
      <c r="H214" s="28" t="s">
        <v>285</v>
      </c>
      <c r="I214" s="28" t="s">
        <v>286</v>
      </c>
      <c r="J214" s="28" t="s">
        <v>58</v>
      </c>
      <c r="K214" s="47"/>
      <c r="L214" s="47">
        <v>1</v>
      </c>
      <c r="M214" s="47">
        <v>1</v>
      </c>
      <c r="N214" s="47">
        <v>1</v>
      </c>
      <c r="O214" s="47"/>
      <c r="P214" s="47"/>
      <c r="Q214" s="47">
        <v>4</v>
      </c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28">
        <f t="shared" si="3"/>
        <v>7</v>
      </c>
      <c r="AN214" s="28"/>
    </row>
    <row r="215" spans="1:40">
      <c r="A215" s="28">
        <v>213</v>
      </c>
      <c r="B215" s="29">
        <v>133544</v>
      </c>
      <c r="C215" s="28" t="s">
        <v>380</v>
      </c>
      <c r="D215" s="28"/>
      <c r="E215" s="28">
        <v>20250113</v>
      </c>
      <c r="F215" s="28"/>
      <c r="G215" s="29" t="s">
        <v>283</v>
      </c>
      <c r="H215" s="28" t="s">
        <v>285</v>
      </c>
      <c r="I215" s="28" t="s">
        <v>286</v>
      </c>
      <c r="J215" s="28" t="s">
        <v>54</v>
      </c>
      <c r="K215" s="47"/>
      <c r="L215" s="47">
        <v>1</v>
      </c>
      <c r="M215" s="47">
        <v>1</v>
      </c>
      <c r="N215" s="47">
        <v>1</v>
      </c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28">
        <f t="shared" si="3"/>
        <v>3</v>
      </c>
      <c r="AN215" s="28"/>
    </row>
    <row r="216" spans="1:40">
      <c r="A216" s="28">
        <v>214</v>
      </c>
      <c r="B216" s="29">
        <v>134065</v>
      </c>
      <c r="C216" s="28" t="s">
        <v>389</v>
      </c>
      <c r="D216" s="28"/>
      <c r="E216" s="28">
        <v>20250307</v>
      </c>
      <c r="F216" s="28"/>
      <c r="G216" s="29" t="s">
        <v>283</v>
      </c>
      <c r="H216" s="28" t="s">
        <v>285</v>
      </c>
      <c r="I216" s="28" t="s">
        <v>286</v>
      </c>
      <c r="J216" s="28" t="s">
        <v>58</v>
      </c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>
        <v>2</v>
      </c>
      <c r="V216" s="47"/>
      <c r="W216" s="47"/>
      <c r="X216" s="47">
        <v>5</v>
      </c>
      <c r="Y216" s="47"/>
      <c r="Z216" s="47"/>
      <c r="AA216" s="47"/>
      <c r="AB216" s="47"/>
      <c r="AC216" s="47">
        <v>2</v>
      </c>
      <c r="AD216" s="47">
        <v>2</v>
      </c>
      <c r="AE216" s="47"/>
      <c r="AF216" s="47"/>
      <c r="AG216" s="47"/>
      <c r="AH216" s="47">
        <v>2</v>
      </c>
      <c r="AI216" s="47">
        <v>2</v>
      </c>
      <c r="AJ216" s="47"/>
      <c r="AK216" s="47"/>
      <c r="AL216" s="47">
        <v>4</v>
      </c>
      <c r="AM216" s="28">
        <f t="shared" si="3"/>
        <v>19</v>
      </c>
      <c r="AN216" s="28"/>
    </row>
    <row r="217" spans="1:40">
      <c r="A217" s="28">
        <v>215</v>
      </c>
      <c r="B217" s="29">
        <v>134089</v>
      </c>
      <c r="C217" s="28" t="s">
        <v>390</v>
      </c>
      <c r="D217" s="28"/>
      <c r="E217" s="28">
        <v>20250310</v>
      </c>
      <c r="F217" s="28"/>
      <c r="G217" s="29" t="s">
        <v>283</v>
      </c>
      <c r="H217" s="28" t="s">
        <v>285</v>
      </c>
      <c r="I217" s="28" t="s">
        <v>286</v>
      </c>
      <c r="J217" s="28" t="s">
        <v>58</v>
      </c>
      <c r="K217" s="47"/>
      <c r="L217" s="47"/>
      <c r="M217" s="47"/>
      <c r="N217" s="47"/>
      <c r="O217" s="47"/>
      <c r="P217" s="47"/>
      <c r="Q217" s="47"/>
      <c r="R217" s="47"/>
      <c r="S217" s="47">
        <v>2</v>
      </c>
      <c r="T217" s="47">
        <v>2</v>
      </c>
      <c r="U217" s="47">
        <v>2</v>
      </c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>
        <v>4</v>
      </c>
      <c r="AM217" s="28">
        <f t="shared" si="3"/>
        <v>10</v>
      </c>
      <c r="AN217" s="28"/>
    </row>
    <row r="218" spans="1:40">
      <c r="A218" s="28">
        <v>216</v>
      </c>
      <c r="B218" s="29">
        <v>134831</v>
      </c>
      <c r="C218" s="28" t="s">
        <v>395</v>
      </c>
      <c r="D218" s="28"/>
      <c r="E218" s="28">
        <v>20250506</v>
      </c>
      <c r="F218" s="28"/>
      <c r="G218" s="29" t="s">
        <v>283</v>
      </c>
      <c r="H218" s="28" t="s">
        <v>285</v>
      </c>
      <c r="I218" s="28" t="s">
        <v>286</v>
      </c>
      <c r="J218" s="28" t="s">
        <v>58</v>
      </c>
      <c r="K218" s="47"/>
      <c r="L218" s="47">
        <v>1</v>
      </c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28">
        <f t="shared" si="3"/>
        <v>1</v>
      </c>
      <c r="AN218" s="28"/>
    </row>
    <row r="219" spans="1:40">
      <c r="A219" s="28">
        <v>217</v>
      </c>
      <c r="B219" s="29">
        <v>134928</v>
      </c>
      <c r="C219" s="28" t="s">
        <v>397</v>
      </c>
      <c r="D219" s="28"/>
      <c r="E219" s="28">
        <v>20250520</v>
      </c>
      <c r="F219" s="28"/>
      <c r="G219" s="29" t="s">
        <v>283</v>
      </c>
      <c r="H219" s="28" t="s">
        <v>285</v>
      </c>
      <c r="I219" s="28" t="s">
        <v>286</v>
      </c>
      <c r="J219" s="28" t="s">
        <v>54</v>
      </c>
      <c r="K219" s="47"/>
      <c r="L219" s="47">
        <v>1</v>
      </c>
      <c r="M219" s="47"/>
      <c r="N219" s="47">
        <v>1</v>
      </c>
      <c r="O219" s="47"/>
      <c r="P219" s="47"/>
      <c r="Q219" s="47">
        <v>4</v>
      </c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28">
        <f t="shared" si="3"/>
        <v>6</v>
      </c>
      <c r="AN219" s="28"/>
    </row>
    <row r="220" spans="1:40">
      <c r="A220" s="28">
        <v>218</v>
      </c>
      <c r="B220" s="45">
        <v>135011</v>
      </c>
      <c r="C220" s="44" t="s">
        <v>401</v>
      </c>
      <c r="D220" s="44"/>
      <c r="E220" s="44">
        <v>20250624</v>
      </c>
      <c r="F220" s="44">
        <v>20260214</v>
      </c>
      <c r="G220" s="45" t="s">
        <v>283</v>
      </c>
      <c r="H220" s="44" t="s">
        <v>285</v>
      </c>
      <c r="I220" s="44" t="s">
        <v>286</v>
      </c>
      <c r="J220" s="44" t="s">
        <v>54</v>
      </c>
      <c r="K220" s="47"/>
      <c r="L220" s="47"/>
      <c r="M220" s="47">
        <v>1</v>
      </c>
      <c r="N220" s="47">
        <v>1</v>
      </c>
      <c r="O220" s="47"/>
      <c r="P220" s="47"/>
      <c r="Q220" s="47">
        <v>4</v>
      </c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28">
        <f t="shared" si="3"/>
        <v>6</v>
      </c>
      <c r="AN220" s="28"/>
    </row>
    <row r="221" spans="1:40">
      <c r="A221" s="28">
        <v>219</v>
      </c>
      <c r="B221" s="29">
        <v>135481</v>
      </c>
      <c r="C221" s="28" t="s">
        <v>406</v>
      </c>
      <c r="D221" s="28"/>
      <c r="E221" s="28">
        <v>20250916</v>
      </c>
      <c r="F221" s="28"/>
      <c r="G221" s="29" t="s">
        <v>283</v>
      </c>
      <c r="H221" s="28" t="s">
        <v>285</v>
      </c>
      <c r="I221" s="28" t="s">
        <v>286</v>
      </c>
      <c r="J221" s="28" t="s">
        <v>58</v>
      </c>
      <c r="K221" s="47"/>
      <c r="L221" s="47">
        <v>1</v>
      </c>
      <c r="M221" s="47"/>
      <c r="N221" s="47">
        <v>1</v>
      </c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28">
        <f t="shared" si="3"/>
        <v>2</v>
      </c>
      <c r="AN221" s="28"/>
    </row>
    <row r="222" spans="1:40">
      <c r="A222" s="28">
        <v>220</v>
      </c>
      <c r="B222" s="29">
        <v>700333</v>
      </c>
      <c r="C222" s="28" t="s">
        <v>425</v>
      </c>
      <c r="D222" s="28"/>
      <c r="E222" s="28">
        <v>20181101</v>
      </c>
      <c r="F222" s="28"/>
      <c r="G222" s="29" t="s">
        <v>283</v>
      </c>
      <c r="H222" s="28" t="s">
        <v>285</v>
      </c>
      <c r="I222" s="28" t="s">
        <v>286</v>
      </c>
      <c r="J222" s="28" t="s">
        <v>58</v>
      </c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>
        <v>8</v>
      </c>
      <c r="W222" s="47">
        <v>8</v>
      </c>
      <c r="X222" s="47"/>
      <c r="Y222" s="47"/>
      <c r="Z222" s="47">
        <v>8</v>
      </c>
      <c r="AA222" s="47">
        <v>8</v>
      </c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>
        <v>4</v>
      </c>
      <c r="AM222" s="28">
        <f t="shared" si="3"/>
        <v>36</v>
      </c>
      <c r="AN222" s="28"/>
    </row>
    <row r="223" spans="1:40">
      <c r="A223" s="28">
        <v>221</v>
      </c>
      <c r="B223" s="29">
        <v>136203</v>
      </c>
      <c r="C223" s="28" t="s">
        <v>430</v>
      </c>
      <c r="D223" s="28"/>
      <c r="E223" s="28">
        <v>20260218</v>
      </c>
      <c r="F223" s="28"/>
      <c r="G223" s="29" t="s">
        <v>283</v>
      </c>
      <c r="H223" s="28" t="s">
        <v>285</v>
      </c>
      <c r="I223" s="28" t="s">
        <v>286</v>
      </c>
      <c r="J223" s="28" t="s">
        <v>54</v>
      </c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>
        <f t="shared" si="3"/>
        <v>0</v>
      </c>
      <c r="AN223" s="28"/>
    </row>
    <row r="224" spans="1:40">
      <c r="A224" s="28">
        <v>222</v>
      </c>
      <c r="B224" s="29">
        <v>100380</v>
      </c>
      <c r="C224" s="28" t="s">
        <v>290</v>
      </c>
      <c r="D224" s="28"/>
      <c r="E224" s="28">
        <v>20150601</v>
      </c>
      <c r="F224" s="28"/>
      <c r="G224" s="29" t="s">
        <v>283</v>
      </c>
      <c r="H224" s="28" t="s">
        <v>291</v>
      </c>
      <c r="I224" s="28" t="s">
        <v>292</v>
      </c>
      <c r="J224" s="28" t="s">
        <v>54</v>
      </c>
      <c r="K224" s="47"/>
      <c r="L224" s="47">
        <v>1</v>
      </c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>
        <v>1.5</v>
      </c>
      <c r="AK224" s="47"/>
      <c r="AL224" s="47">
        <v>4</v>
      </c>
      <c r="AM224" s="28">
        <f t="shared" si="3"/>
        <v>6.5</v>
      </c>
      <c r="AN224" s="28"/>
    </row>
    <row r="225" spans="1:40">
      <c r="A225" s="28">
        <v>223</v>
      </c>
      <c r="B225" s="29">
        <v>104068</v>
      </c>
      <c r="C225" s="28" t="s">
        <v>300</v>
      </c>
      <c r="D225" s="28"/>
      <c r="E225" s="28">
        <v>20160906</v>
      </c>
      <c r="F225" s="28"/>
      <c r="G225" s="29" t="s">
        <v>283</v>
      </c>
      <c r="H225" s="28" t="s">
        <v>291</v>
      </c>
      <c r="I225" s="28" t="s">
        <v>292</v>
      </c>
      <c r="J225" s="28" t="s">
        <v>54</v>
      </c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>
        <v>5</v>
      </c>
      <c r="AM225" s="28">
        <f t="shared" si="3"/>
        <v>5</v>
      </c>
      <c r="AN225" s="28"/>
    </row>
    <row r="226" spans="1:40">
      <c r="A226" s="28">
        <v>224</v>
      </c>
      <c r="B226" s="29">
        <v>113537</v>
      </c>
      <c r="C226" s="28" t="s">
        <v>321</v>
      </c>
      <c r="D226" s="28"/>
      <c r="E226" s="28">
        <v>20181206</v>
      </c>
      <c r="F226" s="28"/>
      <c r="G226" s="29" t="s">
        <v>283</v>
      </c>
      <c r="H226" s="28" t="s">
        <v>291</v>
      </c>
      <c r="I226" s="28" t="s">
        <v>292</v>
      </c>
      <c r="J226" s="28" t="s">
        <v>54</v>
      </c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>
        <v>5</v>
      </c>
      <c r="AM226" s="28">
        <f t="shared" si="3"/>
        <v>5</v>
      </c>
      <c r="AN226" s="28"/>
    </row>
    <row r="227" spans="1:40">
      <c r="A227" s="28">
        <v>225</v>
      </c>
      <c r="B227" s="29">
        <v>113562</v>
      </c>
      <c r="C227" s="28" t="s">
        <v>299</v>
      </c>
      <c r="D227" s="28"/>
      <c r="E227" s="28">
        <v>20181211</v>
      </c>
      <c r="F227" s="28"/>
      <c r="G227" s="29" t="s">
        <v>283</v>
      </c>
      <c r="H227" s="28" t="s">
        <v>291</v>
      </c>
      <c r="I227" s="28" t="s">
        <v>292</v>
      </c>
      <c r="J227" s="28" t="s">
        <v>54</v>
      </c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28">
        <f t="shared" si="3"/>
        <v>0</v>
      </c>
      <c r="AN227" s="28"/>
    </row>
    <row r="228" spans="1:40">
      <c r="A228" s="28">
        <v>226</v>
      </c>
      <c r="B228" s="29">
        <v>129787</v>
      </c>
      <c r="C228" s="28" t="s">
        <v>350</v>
      </c>
      <c r="D228" s="28"/>
      <c r="E228" s="28">
        <v>20240130</v>
      </c>
      <c r="F228" s="28"/>
      <c r="G228" s="29" t="s">
        <v>283</v>
      </c>
      <c r="H228" s="28" t="s">
        <v>291</v>
      </c>
      <c r="I228" s="28" t="s">
        <v>292</v>
      </c>
      <c r="J228" s="28" t="s">
        <v>58</v>
      </c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28">
        <f t="shared" si="3"/>
        <v>0</v>
      </c>
      <c r="AN228" s="28"/>
    </row>
    <row r="229" spans="1:40">
      <c r="A229" s="28">
        <v>227</v>
      </c>
      <c r="B229" s="29">
        <v>129788</v>
      </c>
      <c r="C229" s="28" t="s">
        <v>351</v>
      </c>
      <c r="D229" s="28"/>
      <c r="E229" s="28">
        <v>20240130</v>
      </c>
      <c r="F229" s="28"/>
      <c r="G229" s="29" t="s">
        <v>283</v>
      </c>
      <c r="H229" s="28" t="s">
        <v>291</v>
      </c>
      <c r="I229" s="28" t="s">
        <v>292</v>
      </c>
      <c r="J229" s="28" t="s">
        <v>54</v>
      </c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>
        <v>5</v>
      </c>
      <c r="AM229" s="28">
        <f t="shared" si="3"/>
        <v>5</v>
      </c>
      <c r="AN229" s="28"/>
    </row>
    <row r="230" spans="1:40">
      <c r="A230" s="28">
        <v>228</v>
      </c>
      <c r="B230" s="45">
        <v>130326</v>
      </c>
      <c r="C230" s="44" t="s">
        <v>356</v>
      </c>
      <c r="D230" s="44"/>
      <c r="E230" s="44">
        <v>20240325</v>
      </c>
      <c r="F230" s="44">
        <v>20260220</v>
      </c>
      <c r="G230" s="45" t="s">
        <v>283</v>
      </c>
      <c r="H230" s="44" t="s">
        <v>291</v>
      </c>
      <c r="I230" s="44" t="s">
        <v>292</v>
      </c>
      <c r="J230" s="44" t="s">
        <v>54</v>
      </c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28">
        <f t="shared" si="3"/>
        <v>0</v>
      </c>
      <c r="AN230" s="28"/>
    </row>
    <row r="231" spans="1:40">
      <c r="A231" s="28">
        <v>229</v>
      </c>
      <c r="B231" s="29">
        <v>131378</v>
      </c>
      <c r="C231" s="28" t="s">
        <v>363</v>
      </c>
      <c r="D231" s="28"/>
      <c r="E231" s="28">
        <v>20240806</v>
      </c>
      <c r="F231" s="28"/>
      <c r="G231" s="29" t="s">
        <v>283</v>
      </c>
      <c r="H231" s="28" t="s">
        <v>291</v>
      </c>
      <c r="I231" s="28" t="s">
        <v>292</v>
      </c>
      <c r="J231" s="28" t="s">
        <v>58</v>
      </c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28">
        <f t="shared" si="3"/>
        <v>0</v>
      </c>
      <c r="AN231" s="28"/>
    </row>
    <row r="232" spans="1:40">
      <c r="A232" s="28">
        <v>230</v>
      </c>
      <c r="B232" s="29">
        <v>131982</v>
      </c>
      <c r="C232" s="28" t="s">
        <v>293</v>
      </c>
      <c r="D232" s="28"/>
      <c r="E232" s="28">
        <v>20240913</v>
      </c>
      <c r="F232" s="28"/>
      <c r="G232" s="29" t="s">
        <v>283</v>
      </c>
      <c r="H232" s="28" t="s">
        <v>291</v>
      </c>
      <c r="I232" s="28" t="s">
        <v>292</v>
      </c>
      <c r="J232" s="28" t="s">
        <v>54</v>
      </c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28">
        <f t="shared" si="3"/>
        <v>0</v>
      </c>
      <c r="AN232" s="28"/>
    </row>
    <row r="233" spans="1:40">
      <c r="A233" s="28">
        <v>231</v>
      </c>
      <c r="B233" s="29">
        <v>133144</v>
      </c>
      <c r="C233" s="28" t="s">
        <v>375</v>
      </c>
      <c r="D233" s="28"/>
      <c r="E233" s="28">
        <v>20241128</v>
      </c>
      <c r="F233" s="28"/>
      <c r="G233" s="29" t="s">
        <v>283</v>
      </c>
      <c r="H233" s="28" t="s">
        <v>291</v>
      </c>
      <c r="I233" s="28" t="s">
        <v>292</v>
      </c>
      <c r="J233" s="28" t="s">
        <v>54</v>
      </c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>
        <v>5</v>
      </c>
      <c r="AM233" s="28">
        <f t="shared" si="3"/>
        <v>5</v>
      </c>
      <c r="AN233" s="28"/>
    </row>
    <row r="234" spans="1:40">
      <c r="A234" s="28">
        <v>232</v>
      </c>
      <c r="B234" s="29">
        <v>133869</v>
      </c>
      <c r="C234" s="28" t="s">
        <v>387</v>
      </c>
      <c r="D234" s="28"/>
      <c r="E234" s="28">
        <v>20250219</v>
      </c>
      <c r="F234" s="28"/>
      <c r="G234" s="29" t="s">
        <v>283</v>
      </c>
      <c r="H234" s="28" t="s">
        <v>291</v>
      </c>
      <c r="I234" s="28" t="s">
        <v>292</v>
      </c>
      <c r="J234" s="28" t="s">
        <v>54</v>
      </c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28">
        <f t="shared" si="3"/>
        <v>0</v>
      </c>
      <c r="AN234" s="28"/>
    </row>
    <row r="235" spans="1:40">
      <c r="A235" s="28">
        <v>233</v>
      </c>
      <c r="B235" s="29">
        <v>134135</v>
      </c>
      <c r="C235" s="28" t="s">
        <v>391</v>
      </c>
      <c r="D235" s="28"/>
      <c r="E235" s="28">
        <v>20250317</v>
      </c>
      <c r="F235" s="28"/>
      <c r="G235" s="29" t="s">
        <v>283</v>
      </c>
      <c r="H235" s="28" t="s">
        <v>291</v>
      </c>
      <c r="I235" s="28" t="s">
        <v>292</v>
      </c>
      <c r="J235" s="28" t="s">
        <v>54</v>
      </c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28">
        <f t="shared" si="3"/>
        <v>0</v>
      </c>
      <c r="AN235" s="28"/>
    </row>
    <row r="236" spans="1:40">
      <c r="A236" s="28">
        <v>234</v>
      </c>
      <c r="B236" s="29">
        <v>134397</v>
      </c>
      <c r="C236" s="28" t="s">
        <v>392</v>
      </c>
      <c r="D236" s="28"/>
      <c r="E236" s="28">
        <v>20250423</v>
      </c>
      <c r="F236" s="28"/>
      <c r="G236" s="29" t="s">
        <v>283</v>
      </c>
      <c r="H236" s="28" t="s">
        <v>291</v>
      </c>
      <c r="I236" s="28" t="s">
        <v>292</v>
      </c>
      <c r="J236" s="28" t="s">
        <v>54</v>
      </c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28">
        <f t="shared" si="3"/>
        <v>0</v>
      </c>
      <c r="AN236" s="28"/>
    </row>
    <row r="237" spans="1:40">
      <c r="A237" s="28">
        <v>235</v>
      </c>
      <c r="B237" s="29">
        <v>134398</v>
      </c>
      <c r="C237" s="28" t="s">
        <v>393</v>
      </c>
      <c r="D237" s="28"/>
      <c r="E237" s="28">
        <v>20250423</v>
      </c>
      <c r="F237" s="28"/>
      <c r="G237" s="29" t="s">
        <v>283</v>
      </c>
      <c r="H237" s="28" t="s">
        <v>291</v>
      </c>
      <c r="I237" s="28" t="s">
        <v>292</v>
      </c>
      <c r="J237" s="28" t="s">
        <v>54</v>
      </c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>
        <v>5</v>
      </c>
      <c r="AM237" s="28">
        <f t="shared" si="3"/>
        <v>5</v>
      </c>
      <c r="AN237" s="28"/>
    </row>
    <row r="238" spans="1:40">
      <c r="A238" s="28">
        <v>236</v>
      </c>
      <c r="B238" s="29">
        <v>135357</v>
      </c>
      <c r="C238" s="28" t="s">
        <v>404</v>
      </c>
      <c r="D238" s="28"/>
      <c r="E238" s="28">
        <v>20250826</v>
      </c>
      <c r="F238" s="28"/>
      <c r="G238" s="29" t="s">
        <v>283</v>
      </c>
      <c r="H238" s="28" t="s">
        <v>291</v>
      </c>
      <c r="I238" s="28" t="s">
        <v>292</v>
      </c>
      <c r="J238" s="28" t="s">
        <v>54</v>
      </c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28">
        <f t="shared" si="3"/>
        <v>0</v>
      </c>
      <c r="AN238" s="28"/>
    </row>
    <row r="239" spans="1:40">
      <c r="A239" s="28">
        <v>237</v>
      </c>
      <c r="B239" s="29">
        <v>108973</v>
      </c>
      <c r="C239" s="28" t="s">
        <v>310</v>
      </c>
      <c r="D239" s="28"/>
      <c r="E239" s="28">
        <v>20170606</v>
      </c>
      <c r="F239" s="28"/>
      <c r="G239" s="29" t="s">
        <v>283</v>
      </c>
      <c r="H239" s="28" t="s">
        <v>311</v>
      </c>
      <c r="I239" s="28" t="s">
        <v>312</v>
      </c>
      <c r="J239" s="28" t="s">
        <v>58</v>
      </c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28">
        <f t="shared" si="3"/>
        <v>0</v>
      </c>
      <c r="AN239" s="28"/>
    </row>
    <row r="240" spans="1:40">
      <c r="A240" s="28">
        <v>238</v>
      </c>
      <c r="B240" s="29">
        <v>126333</v>
      </c>
      <c r="C240" s="28" t="s">
        <v>336</v>
      </c>
      <c r="D240" s="28"/>
      <c r="E240" s="28">
        <v>20220421</v>
      </c>
      <c r="F240" s="28"/>
      <c r="G240" s="29" t="s">
        <v>283</v>
      </c>
      <c r="H240" s="28" t="s">
        <v>311</v>
      </c>
      <c r="I240" s="28" t="s">
        <v>312</v>
      </c>
      <c r="J240" s="28" t="s">
        <v>58</v>
      </c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28">
        <f t="shared" si="3"/>
        <v>0</v>
      </c>
      <c r="AN240" s="28"/>
    </row>
    <row r="241" spans="1:40">
      <c r="A241" s="28">
        <v>239</v>
      </c>
      <c r="B241" s="29">
        <v>127781</v>
      </c>
      <c r="C241" s="28" t="s">
        <v>343</v>
      </c>
      <c r="D241" s="28"/>
      <c r="E241" s="28">
        <v>20220621</v>
      </c>
      <c r="F241" s="28"/>
      <c r="G241" s="29" t="s">
        <v>283</v>
      </c>
      <c r="H241" s="28" t="s">
        <v>311</v>
      </c>
      <c r="I241" s="28" t="s">
        <v>312</v>
      </c>
      <c r="J241" s="28" t="s">
        <v>58</v>
      </c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28">
        <f t="shared" si="3"/>
        <v>0</v>
      </c>
      <c r="AN241" s="28"/>
    </row>
    <row r="242" spans="1:40">
      <c r="A242" s="28">
        <v>240</v>
      </c>
      <c r="B242" s="29">
        <v>130794</v>
      </c>
      <c r="C242" s="28" t="s">
        <v>357</v>
      </c>
      <c r="D242" s="28"/>
      <c r="E242" s="28">
        <v>20240502</v>
      </c>
      <c r="F242" s="28"/>
      <c r="G242" s="29" t="s">
        <v>283</v>
      </c>
      <c r="H242" s="28" t="s">
        <v>311</v>
      </c>
      <c r="I242" s="28" t="s">
        <v>312</v>
      </c>
      <c r="J242" s="28" t="s">
        <v>58</v>
      </c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28">
        <f t="shared" si="3"/>
        <v>0</v>
      </c>
      <c r="AN242" s="28"/>
    </row>
    <row r="243" spans="1:40">
      <c r="A243" s="28">
        <v>241</v>
      </c>
      <c r="B243" s="29">
        <v>130957</v>
      </c>
      <c r="C243" s="28" t="s">
        <v>359</v>
      </c>
      <c r="D243" s="28"/>
      <c r="E243" s="28">
        <v>20240520</v>
      </c>
      <c r="F243" s="28"/>
      <c r="G243" s="29" t="s">
        <v>283</v>
      </c>
      <c r="H243" s="28" t="s">
        <v>311</v>
      </c>
      <c r="I243" s="28" t="s">
        <v>312</v>
      </c>
      <c r="J243" s="28" t="s">
        <v>54</v>
      </c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28">
        <f t="shared" si="3"/>
        <v>0</v>
      </c>
      <c r="AN243" s="28"/>
    </row>
    <row r="244" spans="1:40">
      <c r="A244" s="28">
        <v>242</v>
      </c>
      <c r="B244" s="29">
        <v>130958</v>
      </c>
      <c r="C244" s="28" t="s">
        <v>360</v>
      </c>
      <c r="D244" s="28"/>
      <c r="E244" s="28">
        <v>20240520</v>
      </c>
      <c r="F244" s="28"/>
      <c r="G244" s="29" t="s">
        <v>283</v>
      </c>
      <c r="H244" s="28" t="s">
        <v>311</v>
      </c>
      <c r="I244" s="28" t="s">
        <v>312</v>
      </c>
      <c r="J244" s="28" t="s">
        <v>54</v>
      </c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>
        <v>0.5</v>
      </c>
      <c r="AL244" s="47">
        <v>5</v>
      </c>
      <c r="AM244" s="28">
        <f t="shared" si="3"/>
        <v>5.5</v>
      </c>
      <c r="AN244" s="28"/>
    </row>
    <row r="245" spans="1:40">
      <c r="A245" s="28">
        <v>243</v>
      </c>
      <c r="B245" s="29">
        <v>131005</v>
      </c>
      <c r="C245" s="28" t="s">
        <v>361</v>
      </c>
      <c r="D245" s="28"/>
      <c r="E245" s="28">
        <v>20240530</v>
      </c>
      <c r="F245" s="28"/>
      <c r="G245" s="29" t="s">
        <v>283</v>
      </c>
      <c r="H245" s="28" t="s">
        <v>311</v>
      </c>
      <c r="I245" s="28" t="s">
        <v>312</v>
      </c>
      <c r="J245" s="28" t="s">
        <v>58</v>
      </c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28">
        <f t="shared" si="3"/>
        <v>0</v>
      </c>
      <c r="AN245" s="28"/>
    </row>
    <row r="246" spans="1:40">
      <c r="A246" s="28">
        <v>244</v>
      </c>
      <c r="B246" s="29">
        <v>132846</v>
      </c>
      <c r="C246" s="28" t="s">
        <v>371</v>
      </c>
      <c r="D246" s="28"/>
      <c r="E246" s="28">
        <v>20241106</v>
      </c>
      <c r="F246" s="28"/>
      <c r="G246" s="29" t="s">
        <v>283</v>
      </c>
      <c r="H246" s="28" t="s">
        <v>311</v>
      </c>
      <c r="I246" s="28" t="s">
        <v>312</v>
      </c>
      <c r="J246" s="28" t="s">
        <v>58</v>
      </c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28">
        <f t="shared" si="3"/>
        <v>0</v>
      </c>
      <c r="AN246" s="28"/>
    </row>
    <row r="247" spans="1:40">
      <c r="A247" s="28">
        <v>245</v>
      </c>
      <c r="B247" s="29">
        <v>133787</v>
      </c>
      <c r="C247" s="28" t="s">
        <v>385</v>
      </c>
      <c r="D247" s="28"/>
      <c r="E247" s="28">
        <v>20250213</v>
      </c>
      <c r="F247" s="28"/>
      <c r="G247" s="29" t="s">
        <v>283</v>
      </c>
      <c r="H247" s="28" t="s">
        <v>311</v>
      </c>
      <c r="I247" s="28" t="s">
        <v>312</v>
      </c>
      <c r="J247" s="28" t="s">
        <v>58</v>
      </c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28">
        <f t="shared" si="3"/>
        <v>0</v>
      </c>
      <c r="AN247" s="28"/>
    </row>
    <row r="248" spans="1:40">
      <c r="A248" s="28">
        <v>246</v>
      </c>
      <c r="B248" s="29">
        <v>133825</v>
      </c>
      <c r="C248" s="28" t="s">
        <v>386</v>
      </c>
      <c r="D248" s="28"/>
      <c r="E248" s="28">
        <v>20250217</v>
      </c>
      <c r="F248" s="28"/>
      <c r="G248" s="29" t="s">
        <v>283</v>
      </c>
      <c r="H248" s="28" t="s">
        <v>311</v>
      </c>
      <c r="I248" s="28" t="s">
        <v>312</v>
      </c>
      <c r="J248" s="28" t="s">
        <v>58</v>
      </c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28">
        <f t="shared" si="3"/>
        <v>0</v>
      </c>
      <c r="AN248" s="28"/>
    </row>
    <row r="249" spans="1:40">
      <c r="A249" s="28">
        <v>247</v>
      </c>
      <c r="B249" s="29">
        <v>134926</v>
      </c>
      <c r="C249" s="28" t="s">
        <v>396</v>
      </c>
      <c r="D249" s="28"/>
      <c r="E249" s="28">
        <v>20250515</v>
      </c>
      <c r="F249" s="28"/>
      <c r="G249" s="29" t="s">
        <v>283</v>
      </c>
      <c r="H249" s="28" t="s">
        <v>311</v>
      </c>
      <c r="I249" s="28" t="s">
        <v>312</v>
      </c>
      <c r="J249" s="28" t="s">
        <v>58</v>
      </c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>
        <v>0.5</v>
      </c>
      <c r="AL249" s="47">
        <v>5</v>
      </c>
      <c r="AM249" s="28">
        <f t="shared" si="3"/>
        <v>5.5</v>
      </c>
      <c r="AN249" s="28"/>
    </row>
    <row r="250" spans="1:40">
      <c r="A250" s="28">
        <v>248</v>
      </c>
      <c r="B250" s="29">
        <v>135505</v>
      </c>
      <c r="C250" s="28" t="s">
        <v>407</v>
      </c>
      <c r="D250" s="28"/>
      <c r="E250" s="28">
        <v>20250923</v>
      </c>
      <c r="F250" s="28"/>
      <c r="G250" s="29" t="s">
        <v>283</v>
      </c>
      <c r="H250" s="28" t="s">
        <v>311</v>
      </c>
      <c r="I250" s="28" t="s">
        <v>312</v>
      </c>
      <c r="J250" s="28" t="s">
        <v>54</v>
      </c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28">
        <f t="shared" si="3"/>
        <v>0</v>
      </c>
      <c r="AN250" s="28"/>
    </row>
    <row r="251" spans="1:40">
      <c r="A251" s="28">
        <v>249</v>
      </c>
      <c r="B251" s="29">
        <v>135550</v>
      </c>
      <c r="C251" s="28" t="s">
        <v>409</v>
      </c>
      <c r="D251" s="28"/>
      <c r="E251" s="28">
        <v>20251008</v>
      </c>
      <c r="F251" s="28"/>
      <c r="G251" s="29" t="s">
        <v>283</v>
      </c>
      <c r="H251" s="28" t="s">
        <v>311</v>
      </c>
      <c r="I251" s="28" t="s">
        <v>312</v>
      </c>
      <c r="J251" s="28" t="s">
        <v>58</v>
      </c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28">
        <f t="shared" si="3"/>
        <v>0</v>
      </c>
      <c r="AN251" s="28"/>
    </row>
    <row r="252" spans="1:40">
      <c r="A252" s="28">
        <v>250</v>
      </c>
      <c r="B252" s="29">
        <v>135551</v>
      </c>
      <c r="C252" s="28" t="s">
        <v>410</v>
      </c>
      <c r="D252" s="28"/>
      <c r="E252" s="28">
        <v>20251008</v>
      </c>
      <c r="F252" s="28"/>
      <c r="G252" s="29" t="s">
        <v>283</v>
      </c>
      <c r="H252" s="28" t="s">
        <v>311</v>
      </c>
      <c r="I252" s="28" t="s">
        <v>312</v>
      </c>
      <c r="J252" s="28" t="s">
        <v>54</v>
      </c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28">
        <f t="shared" si="3"/>
        <v>0</v>
      </c>
      <c r="AN252" s="28"/>
    </row>
    <row r="253" spans="1:40">
      <c r="A253" s="28">
        <v>251</v>
      </c>
      <c r="B253" s="29">
        <v>135868</v>
      </c>
      <c r="C253" s="28" t="s">
        <v>415</v>
      </c>
      <c r="D253" s="28"/>
      <c r="E253" s="28">
        <v>20251215</v>
      </c>
      <c r="F253" s="28"/>
      <c r="G253" s="29" t="s">
        <v>283</v>
      </c>
      <c r="H253" s="28" t="s">
        <v>311</v>
      </c>
      <c r="I253" s="28" t="s">
        <v>312</v>
      </c>
      <c r="J253" s="28" t="s">
        <v>54</v>
      </c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28">
        <f t="shared" si="3"/>
        <v>0</v>
      </c>
      <c r="AN253" s="28"/>
    </row>
    <row r="254" spans="1:40">
      <c r="A254" s="28">
        <v>252</v>
      </c>
      <c r="B254" s="29">
        <v>135913</v>
      </c>
      <c r="C254" s="28" t="s">
        <v>346</v>
      </c>
      <c r="D254" s="28"/>
      <c r="E254" s="28">
        <v>20251222</v>
      </c>
      <c r="F254" s="28"/>
      <c r="G254" s="29" t="s">
        <v>283</v>
      </c>
      <c r="H254" s="28" t="s">
        <v>311</v>
      </c>
      <c r="I254" s="28" t="s">
        <v>312</v>
      </c>
      <c r="J254" s="28" t="s">
        <v>54</v>
      </c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28">
        <f t="shared" si="3"/>
        <v>0</v>
      </c>
      <c r="AN254" s="28"/>
    </row>
    <row r="255" spans="1:40">
      <c r="A255" s="28">
        <v>253</v>
      </c>
      <c r="B255" s="29">
        <v>135959</v>
      </c>
      <c r="C255" s="28" t="s">
        <v>368</v>
      </c>
      <c r="D255" s="28"/>
      <c r="E255" s="28">
        <v>20260107</v>
      </c>
      <c r="F255" s="28"/>
      <c r="G255" s="29" t="s">
        <v>283</v>
      </c>
      <c r="H255" s="28" t="s">
        <v>311</v>
      </c>
      <c r="I255" s="28" t="s">
        <v>312</v>
      </c>
      <c r="J255" s="28" t="s">
        <v>58</v>
      </c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28">
        <f t="shared" si="3"/>
        <v>0</v>
      </c>
      <c r="AN255" s="28"/>
    </row>
    <row r="256" spans="1:40">
      <c r="A256" s="28">
        <v>254</v>
      </c>
      <c r="B256" s="29">
        <v>136126</v>
      </c>
      <c r="C256" s="28" t="s">
        <v>429</v>
      </c>
      <c r="D256" s="28"/>
      <c r="E256" s="28">
        <v>20260203</v>
      </c>
      <c r="F256" s="28"/>
      <c r="G256" s="29" t="s">
        <v>283</v>
      </c>
      <c r="H256" s="28" t="s">
        <v>311</v>
      </c>
      <c r="I256" s="28" t="s">
        <v>312</v>
      </c>
      <c r="J256" s="28" t="s">
        <v>54</v>
      </c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>
        <f t="shared" si="3"/>
        <v>0</v>
      </c>
      <c r="AN256" s="28"/>
    </row>
    <row r="257" spans="1:40">
      <c r="A257" s="28">
        <v>255</v>
      </c>
      <c r="B257" s="29">
        <v>101346</v>
      </c>
      <c r="C257" s="28" t="s">
        <v>294</v>
      </c>
      <c r="D257" s="28"/>
      <c r="E257" s="28">
        <v>20151201</v>
      </c>
      <c r="F257" s="28"/>
      <c r="G257" s="29" t="s">
        <v>283</v>
      </c>
      <c r="H257" s="28" t="s">
        <v>295</v>
      </c>
      <c r="I257" s="28" t="s">
        <v>22</v>
      </c>
      <c r="J257" s="28" t="s">
        <v>54</v>
      </c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>
        <v>0.5</v>
      </c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28">
        <f t="shared" si="3"/>
        <v>0.5</v>
      </c>
      <c r="AN257" s="28"/>
    </row>
    <row r="258" spans="1:40">
      <c r="A258" s="28">
        <v>256</v>
      </c>
      <c r="B258" s="29">
        <v>103928</v>
      </c>
      <c r="C258" s="28" t="s">
        <v>298</v>
      </c>
      <c r="D258" s="28"/>
      <c r="E258" s="28">
        <v>20160825</v>
      </c>
      <c r="F258" s="28"/>
      <c r="G258" s="29" t="s">
        <v>283</v>
      </c>
      <c r="H258" s="28" t="s">
        <v>295</v>
      </c>
      <c r="I258" s="28" t="s">
        <v>22</v>
      </c>
      <c r="J258" s="28" t="s">
        <v>54</v>
      </c>
      <c r="K258" s="47"/>
      <c r="L258" s="47">
        <v>1.5</v>
      </c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>
        <v>0.5</v>
      </c>
      <c r="AC258" s="47"/>
      <c r="AD258" s="47">
        <v>1.5</v>
      </c>
      <c r="AE258" s="47"/>
      <c r="AF258" s="47"/>
      <c r="AG258" s="47"/>
      <c r="AH258" s="47"/>
      <c r="AI258" s="47"/>
      <c r="AJ258" s="47">
        <v>1.5</v>
      </c>
      <c r="AK258" s="47">
        <v>2</v>
      </c>
      <c r="AL258" s="47">
        <v>0.5</v>
      </c>
      <c r="AM258" s="28">
        <f t="shared" si="3"/>
        <v>7.5</v>
      </c>
      <c r="AN258" s="28"/>
    </row>
    <row r="259" spans="1:40">
      <c r="A259" s="28">
        <v>257</v>
      </c>
      <c r="B259" s="29">
        <v>103964</v>
      </c>
      <c r="C259" s="28" t="s">
        <v>299</v>
      </c>
      <c r="D259" s="28"/>
      <c r="E259" s="28">
        <v>20160825</v>
      </c>
      <c r="F259" s="28"/>
      <c r="G259" s="29" t="s">
        <v>283</v>
      </c>
      <c r="H259" s="28" t="s">
        <v>295</v>
      </c>
      <c r="I259" s="28" t="s">
        <v>22</v>
      </c>
      <c r="J259" s="28" t="s">
        <v>54</v>
      </c>
      <c r="K259" s="47"/>
      <c r="L259" s="47"/>
      <c r="M259" s="47">
        <v>0.5</v>
      </c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>
        <v>0.5</v>
      </c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28">
        <f t="shared" ref="AM259:AM322" si="4">SUM(K259:AL259)</f>
        <v>1</v>
      </c>
      <c r="AN259" s="28"/>
    </row>
    <row r="260" spans="1:40">
      <c r="A260" s="28">
        <v>258</v>
      </c>
      <c r="B260" s="29">
        <v>108851</v>
      </c>
      <c r="C260" s="28" t="s">
        <v>309</v>
      </c>
      <c r="D260" s="28"/>
      <c r="E260" s="28">
        <v>20170525</v>
      </c>
      <c r="F260" s="28"/>
      <c r="G260" s="29" t="s">
        <v>283</v>
      </c>
      <c r="H260" s="28" t="s">
        <v>295</v>
      </c>
      <c r="I260" s="28" t="s">
        <v>22</v>
      </c>
      <c r="J260" s="28" t="s">
        <v>54</v>
      </c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>
        <v>0.5</v>
      </c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28">
        <f t="shared" si="4"/>
        <v>0.5</v>
      </c>
      <c r="AN260" s="28"/>
    </row>
    <row r="261" spans="1:40">
      <c r="A261" s="28">
        <v>259</v>
      </c>
      <c r="B261" s="29">
        <v>109016</v>
      </c>
      <c r="C261" s="28" t="s">
        <v>313</v>
      </c>
      <c r="D261" s="28"/>
      <c r="E261" s="28">
        <v>20170613</v>
      </c>
      <c r="F261" s="28"/>
      <c r="G261" s="29" t="s">
        <v>283</v>
      </c>
      <c r="H261" s="28" t="s">
        <v>295</v>
      </c>
      <c r="I261" s="28" t="s">
        <v>22</v>
      </c>
      <c r="J261" s="28" t="s">
        <v>58</v>
      </c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>
        <v>0.5</v>
      </c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28">
        <f t="shared" si="4"/>
        <v>0.5</v>
      </c>
      <c r="AN261" s="28"/>
    </row>
    <row r="262" spans="1:40">
      <c r="A262" s="28">
        <v>260</v>
      </c>
      <c r="B262" s="29">
        <v>110450</v>
      </c>
      <c r="C262" s="28" t="s">
        <v>318</v>
      </c>
      <c r="D262" s="28"/>
      <c r="E262" s="28">
        <v>20180222</v>
      </c>
      <c r="F262" s="28"/>
      <c r="G262" s="29" t="s">
        <v>283</v>
      </c>
      <c r="H262" s="28" t="s">
        <v>295</v>
      </c>
      <c r="I262" s="28" t="s">
        <v>22</v>
      </c>
      <c r="J262" s="28" t="s">
        <v>58</v>
      </c>
      <c r="K262" s="47"/>
      <c r="L262" s="47"/>
      <c r="M262" s="47"/>
      <c r="N262" s="47"/>
      <c r="O262" s="47"/>
      <c r="P262" s="47"/>
      <c r="Q262" s="47">
        <v>5</v>
      </c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>
        <v>0.5</v>
      </c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28">
        <f t="shared" si="4"/>
        <v>5.5</v>
      </c>
      <c r="AN262" s="28"/>
    </row>
    <row r="263" spans="1:40">
      <c r="A263" s="28">
        <v>261</v>
      </c>
      <c r="B263" s="29">
        <v>117760</v>
      </c>
      <c r="C263" s="28" t="s">
        <v>323</v>
      </c>
      <c r="D263" s="28"/>
      <c r="E263" s="28">
        <v>20191022</v>
      </c>
      <c r="F263" s="28"/>
      <c r="G263" s="29" t="s">
        <v>283</v>
      </c>
      <c r="H263" s="28" t="s">
        <v>295</v>
      </c>
      <c r="I263" s="28" t="s">
        <v>22</v>
      </c>
      <c r="J263" s="28" t="s">
        <v>54</v>
      </c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>
        <v>0.5</v>
      </c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28">
        <f t="shared" si="4"/>
        <v>0.5</v>
      </c>
      <c r="AN263" s="28"/>
    </row>
    <row r="264" spans="1:40">
      <c r="A264" s="28">
        <v>262</v>
      </c>
      <c r="B264" s="29">
        <v>117894</v>
      </c>
      <c r="C264" s="28" t="s">
        <v>324</v>
      </c>
      <c r="D264" s="28"/>
      <c r="E264" s="28">
        <v>20191022</v>
      </c>
      <c r="F264" s="28"/>
      <c r="G264" s="29" t="s">
        <v>283</v>
      </c>
      <c r="H264" s="28" t="s">
        <v>295</v>
      </c>
      <c r="I264" s="28" t="s">
        <v>22</v>
      </c>
      <c r="J264" s="28" t="s">
        <v>54</v>
      </c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28">
        <f t="shared" si="4"/>
        <v>0</v>
      </c>
      <c r="AN264" s="28"/>
    </row>
    <row r="265" spans="1:40">
      <c r="A265" s="28">
        <v>263</v>
      </c>
      <c r="B265" s="29">
        <v>118195</v>
      </c>
      <c r="C265" s="28" t="s">
        <v>326</v>
      </c>
      <c r="D265" s="28"/>
      <c r="E265" s="28">
        <v>20191029</v>
      </c>
      <c r="F265" s="28"/>
      <c r="G265" s="29" t="s">
        <v>283</v>
      </c>
      <c r="H265" s="28" t="s">
        <v>295</v>
      </c>
      <c r="I265" s="28" t="s">
        <v>22</v>
      </c>
      <c r="J265" s="28" t="s">
        <v>54</v>
      </c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28">
        <f t="shared" si="4"/>
        <v>0</v>
      </c>
      <c r="AN265" s="28"/>
    </row>
    <row r="266" spans="1:40">
      <c r="A266" s="28">
        <v>264</v>
      </c>
      <c r="B266" s="29">
        <v>118835</v>
      </c>
      <c r="C266" s="28" t="s">
        <v>328</v>
      </c>
      <c r="D266" s="28"/>
      <c r="E266" s="28">
        <v>20191210</v>
      </c>
      <c r="F266" s="28"/>
      <c r="G266" s="29" t="s">
        <v>283</v>
      </c>
      <c r="H266" s="28" t="s">
        <v>295</v>
      </c>
      <c r="I266" s="28" t="s">
        <v>22</v>
      </c>
      <c r="J266" s="28" t="s">
        <v>58</v>
      </c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>
        <v>0.5</v>
      </c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28">
        <f t="shared" si="4"/>
        <v>0.5</v>
      </c>
      <c r="AN266" s="28"/>
    </row>
    <row r="267" spans="1:40">
      <c r="A267" s="28">
        <v>265</v>
      </c>
      <c r="B267" s="29">
        <v>126432</v>
      </c>
      <c r="C267" s="28" t="s">
        <v>337</v>
      </c>
      <c r="D267" s="28"/>
      <c r="E267" s="28">
        <v>20220421</v>
      </c>
      <c r="F267" s="28"/>
      <c r="G267" s="29" t="s">
        <v>283</v>
      </c>
      <c r="H267" s="28" t="s">
        <v>295</v>
      </c>
      <c r="I267" s="28" t="s">
        <v>22</v>
      </c>
      <c r="J267" s="28" t="s">
        <v>54</v>
      </c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>
        <v>0.5</v>
      </c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28">
        <f t="shared" si="4"/>
        <v>0.5</v>
      </c>
      <c r="AN267" s="28"/>
    </row>
    <row r="268" spans="1:40">
      <c r="A268" s="28">
        <v>266</v>
      </c>
      <c r="B268" s="29">
        <v>129354</v>
      </c>
      <c r="C268" s="28" t="s">
        <v>347</v>
      </c>
      <c r="D268" s="28"/>
      <c r="E268" s="28">
        <v>20231226</v>
      </c>
      <c r="F268" s="28"/>
      <c r="G268" s="29" t="s">
        <v>283</v>
      </c>
      <c r="H268" s="28" t="s">
        <v>295</v>
      </c>
      <c r="I268" s="28" t="s">
        <v>22</v>
      </c>
      <c r="J268" s="28" t="s">
        <v>58</v>
      </c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>
        <v>0.5</v>
      </c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28">
        <f t="shared" si="4"/>
        <v>0.5</v>
      </c>
      <c r="AN268" s="28"/>
    </row>
    <row r="269" spans="1:40">
      <c r="A269" s="28">
        <v>267</v>
      </c>
      <c r="B269" s="29">
        <v>129376</v>
      </c>
      <c r="C269" s="28" t="s">
        <v>348</v>
      </c>
      <c r="D269" s="28"/>
      <c r="E269" s="28">
        <v>20231228</v>
      </c>
      <c r="F269" s="28"/>
      <c r="G269" s="29" t="s">
        <v>283</v>
      </c>
      <c r="H269" s="28" t="s">
        <v>295</v>
      </c>
      <c r="I269" s="28" t="s">
        <v>22</v>
      </c>
      <c r="J269" s="28" t="s">
        <v>54</v>
      </c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>
        <v>0.5</v>
      </c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28">
        <f t="shared" si="4"/>
        <v>0.5</v>
      </c>
      <c r="AN269" s="28"/>
    </row>
    <row r="270" spans="1:40">
      <c r="A270" s="28">
        <v>268</v>
      </c>
      <c r="B270" s="41">
        <v>129733</v>
      </c>
      <c r="C270" s="40" t="s">
        <v>349</v>
      </c>
      <c r="D270" s="40"/>
      <c r="E270" s="40">
        <v>20240123</v>
      </c>
      <c r="F270" s="40">
        <v>20260221</v>
      </c>
      <c r="G270" s="41" t="s">
        <v>283</v>
      </c>
      <c r="H270" s="40" t="s">
        <v>295</v>
      </c>
      <c r="I270" s="40" t="s">
        <v>22</v>
      </c>
      <c r="J270" s="40" t="s">
        <v>58</v>
      </c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28">
        <f t="shared" si="4"/>
        <v>0</v>
      </c>
      <c r="AN270" s="28"/>
    </row>
    <row r="271" spans="1:40">
      <c r="A271" s="28">
        <v>269</v>
      </c>
      <c r="B271" s="29">
        <v>129789</v>
      </c>
      <c r="C271" s="28" t="s">
        <v>352</v>
      </c>
      <c r="D271" s="28"/>
      <c r="E271" s="28">
        <v>20240130</v>
      </c>
      <c r="F271" s="28"/>
      <c r="G271" s="29" t="s">
        <v>283</v>
      </c>
      <c r="H271" s="28" t="s">
        <v>295</v>
      </c>
      <c r="I271" s="28" t="s">
        <v>22</v>
      </c>
      <c r="J271" s="28" t="s">
        <v>54</v>
      </c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>
        <v>0.5</v>
      </c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28">
        <f t="shared" si="4"/>
        <v>0.5</v>
      </c>
      <c r="AN271" s="28"/>
    </row>
    <row r="272" spans="1:40">
      <c r="A272" s="28">
        <v>270</v>
      </c>
      <c r="B272" s="29">
        <v>130252</v>
      </c>
      <c r="C272" s="28" t="s">
        <v>354</v>
      </c>
      <c r="D272" s="28"/>
      <c r="E272" s="28">
        <v>20240319</v>
      </c>
      <c r="F272" s="28"/>
      <c r="G272" s="29" t="s">
        <v>283</v>
      </c>
      <c r="H272" s="28" t="s">
        <v>295</v>
      </c>
      <c r="I272" s="28" t="s">
        <v>22</v>
      </c>
      <c r="J272" s="28" t="s">
        <v>58</v>
      </c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28">
        <f t="shared" si="4"/>
        <v>0</v>
      </c>
      <c r="AN272" s="28"/>
    </row>
    <row r="273" spans="1:40">
      <c r="A273" s="28">
        <v>271</v>
      </c>
      <c r="B273" s="29">
        <v>131619</v>
      </c>
      <c r="C273" s="28" t="s">
        <v>364</v>
      </c>
      <c r="D273" s="28"/>
      <c r="E273" s="28">
        <v>20240827</v>
      </c>
      <c r="F273" s="28"/>
      <c r="G273" s="29" t="s">
        <v>283</v>
      </c>
      <c r="H273" s="28" t="s">
        <v>295</v>
      </c>
      <c r="I273" s="28" t="s">
        <v>22</v>
      </c>
      <c r="J273" s="28" t="s">
        <v>58</v>
      </c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>
        <v>0.5</v>
      </c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28">
        <f t="shared" si="4"/>
        <v>0.5</v>
      </c>
      <c r="AN273" s="28"/>
    </row>
    <row r="274" spans="1:40">
      <c r="A274" s="28">
        <v>272</v>
      </c>
      <c r="B274" s="29">
        <v>133374</v>
      </c>
      <c r="C274" s="28" t="s">
        <v>376</v>
      </c>
      <c r="D274" s="28"/>
      <c r="E274" s="28">
        <v>20241220</v>
      </c>
      <c r="F274" s="28"/>
      <c r="G274" s="29" t="s">
        <v>283</v>
      </c>
      <c r="H274" s="28" t="s">
        <v>295</v>
      </c>
      <c r="I274" s="28" t="s">
        <v>22</v>
      </c>
      <c r="J274" s="28" t="s">
        <v>58</v>
      </c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28">
        <f t="shared" si="4"/>
        <v>0</v>
      </c>
      <c r="AN274" s="28"/>
    </row>
    <row r="275" spans="1:40">
      <c r="A275" s="28">
        <v>273</v>
      </c>
      <c r="B275" s="29">
        <v>133701</v>
      </c>
      <c r="C275" s="28" t="s">
        <v>382</v>
      </c>
      <c r="D275" s="28"/>
      <c r="E275" s="28">
        <v>20250203</v>
      </c>
      <c r="F275" s="28"/>
      <c r="G275" s="29" t="s">
        <v>283</v>
      </c>
      <c r="H275" s="28" t="s">
        <v>295</v>
      </c>
      <c r="I275" s="28" t="s">
        <v>22</v>
      </c>
      <c r="J275" s="28" t="s">
        <v>54</v>
      </c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>
        <v>0.5</v>
      </c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28">
        <f t="shared" si="4"/>
        <v>0.5</v>
      </c>
      <c r="AN275" s="28"/>
    </row>
    <row r="276" spans="1:40">
      <c r="A276" s="28">
        <v>274</v>
      </c>
      <c r="B276" s="29">
        <v>134933</v>
      </c>
      <c r="C276" s="28" t="s">
        <v>301</v>
      </c>
      <c r="D276" s="28"/>
      <c r="E276" s="28">
        <v>20250522</v>
      </c>
      <c r="F276" s="28"/>
      <c r="G276" s="29" t="s">
        <v>283</v>
      </c>
      <c r="H276" s="28" t="s">
        <v>295</v>
      </c>
      <c r="I276" s="28" t="s">
        <v>22</v>
      </c>
      <c r="J276" s="28" t="s">
        <v>54</v>
      </c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>
        <v>0.5</v>
      </c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28">
        <f t="shared" si="4"/>
        <v>0.5</v>
      </c>
      <c r="AN276" s="28"/>
    </row>
    <row r="277" spans="1:40">
      <c r="A277" s="28">
        <v>275</v>
      </c>
      <c r="B277" s="29">
        <v>135622</v>
      </c>
      <c r="C277" s="28" t="s">
        <v>377</v>
      </c>
      <c r="D277" s="28"/>
      <c r="E277" s="28">
        <v>20251014</v>
      </c>
      <c r="F277" s="28"/>
      <c r="G277" s="29" t="s">
        <v>283</v>
      </c>
      <c r="H277" s="28" t="s">
        <v>295</v>
      </c>
      <c r="I277" s="28" t="s">
        <v>22</v>
      </c>
      <c r="J277" s="28" t="s">
        <v>58</v>
      </c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28">
        <f t="shared" si="4"/>
        <v>0</v>
      </c>
      <c r="AN277" s="28"/>
    </row>
    <row r="278" spans="1:40">
      <c r="A278" s="28">
        <v>276</v>
      </c>
      <c r="B278" s="29">
        <v>135826</v>
      </c>
      <c r="C278" s="28" t="s">
        <v>413</v>
      </c>
      <c r="D278" s="28"/>
      <c r="E278" s="28">
        <v>20251125</v>
      </c>
      <c r="F278" s="28"/>
      <c r="G278" s="29" t="s">
        <v>283</v>
      </c>
      <c r="H278" s="28" t="s">
        <v>295</v>
      </c>
      <c r="I278" s="28" t="s">
        <v>22</v>
      </c>
      <c r="J278" s="28" t="s">
        <v>54</v>
      </c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>
        <v>0.5</v>
      </c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28">
        <f t="shared" si="4"/>
        <v>0.5</v>
      </c>
      <c r="AN278" s="28"/>
    </row>
    <row r="279" spans="1:40">
      <c r="A279" s="28">
        <v>277</v>
      </c>
      <c r="B279" s="29">
        <v>136004</v>
      </c>
      <c r="C279" s="28" t="s">
        <v>418</v>
      </c>
      <c r="D279" s="28"/>
      <c r="E279" s="28">
        <v>20260113</v>
      </c>
      <c r="F279" s="28"/>
      <c r="G279" s="29" t="s">
        <v>283</v>
      </c>
      <c r="H279" s="28" t="s">
        <v>295</v>
      </c>
      <c r="I279" s="28" t="s">
        <v>22</v>
      </c>
      <c r="J279" s="28" t="s">
        <v>54</v>
      </c>
      <c r="K279" s="47"/>
      <c r="L279" s="47">
        <v>1.5</v>
      </c>
      <c r="M279" s="47"/>
      <c r="N279" s="47"/>
      <c r="O279" s="47"/>
      <c r="P279" s="47"/>
      <c r="Q279" s="47">
        <v>4</v>
      </c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>
        <v>0.5</v>
      </c>
      <c r="AC279" s="47"/>
      <c r="AD279" s="47">
        <v>1.5</v>
      </c>
      <c r="AE279" s="47"/>
      <c r="AF279" s="47"/>
      <c r="AG279" s="47"/>
      <c r="AH279" s="47"/>
      <c r="AI279" s="47"/>
      <c r="AJ279" s="47">
        <v>1.5</v>
      </c>
      <c r="AK279" s="47">
        <v>2</v>
      </c>
      <c r="AL279" s="47">
        <v>0.5</v>
      </c>
      <c r="AM279" s="28">
        <f t="shared" si="4"/>
        <v>11.5</v>
      </c>
      <c r="AN279" s="28"/>
    </row>
    <row r="280" spans="1:40">
      <c r="A280" s="28">
        <v>278</v>
      </c>
      <c r="B280" s="29">
        <v>108153</v>
      </c>
      <c r="C280" s="28" t="s">
        <v>306</v>
      </c>
      <c r="D280" s="28"/>
      <c r="E280" s="28">
        <v>20170502</v>
      </c>
      <c r="F280" s="28"/>
      <c r="G280" s="29" t="s">
        <v>283</v>
      </c>
      <c r="H280" s="28" t="s">
        <v>307</v>
      </c>
      <c r="I280" s="28" t="s">
        <v>308</v>
      </c>
      <c r="J280" s="28" t="s">
        <v>54</v>
      </c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28">
        <f t="shared" si="4"/>
        <v>0</v>
      </c>
      <c r="AN280" s="28"/>
    </row>
    <row r="281" spans="1:40">
      <c r="A281" s="28">
        <v>279</v>
      </c>
      <c r="B281" s="29">
        <v>109836</v>
      </c>
      <c r="C281" s="28" t="s">
        <v>317</v>
      </c>
      <c r="D281" s="28"/>
      <c r="E281" s="28">
        <v>20170926</v>
      </c>
      <c r="F281" s="28"/>
      <c r="G281" s="29" t="s">
        <v>283</v>
      </c>
      <c r="H281" s="28" t="s">
        <v>307</v>
      </c>
      <c r="I281" s="28" t="s">
        <v>308</v>
      </c>
      <c r="J281" s="28" t="s">
        <v>54</v>
      </c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>
        <v>4</v>
      </c>
      <c r="AF281" s="47"/>
      <c r="AG281" s="47"/>
      <c r="AH281" s="47"/>
      <c r="AI281" s="47"/>
      <c r="AJ281" s="47"/>
      <c r="AK281" s="47"/>
      <c r="AL281" s="47"/>
      <c r="AM281" s="28">
        <f t="shared" si="4"/>
        <v>4</v>
      </c>
      <c r="AN281" s="28"/>
    </row>
    <row r="282" spans="1:40">
      <c r="A282" s="28">
        <v>280</v>
      </c>
      <c r="B282" s="29">
        <v>126139</v>
      </c>
      <c r="C282" s="28" t="s">
        <v>335</v>
      </c>
      <c r="D282" s="28"/>
      <c r="E282" s="28">
        <v>20220322</v>
      </c>
      <c r="F282" s="28"/>
      <c r="G282" s="29" t="s">
        <v>283</v>
      </c>
      <c r="H282" s="28" t="s">
        <v>307</v>
      </c>
      <c r="I282" s="28" t="s">
        <v>308</v>
      </c>
      <c r="J282" s="28" t="s">
        <v>54</v>
      </c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28">
        <f t="shared" si="4"/>
        <v>0</v>
      </c>
      <c r="AN282" s="28"/>
    </row>
    <row r="283" spans="1:40">
      <c r="A283" s="28">
        <v>281</v>
      </c>
      <c r="B283" s="29">
        <v>127491</v>
      </c>
      <c r="C283" s="28" t="s">
        <v>339</v>
      </c>
      <c r="D283" s="28"/>
      <c r="E283" s="28">
        <v>20220609</v>
      </c>
      <c r="F283" s="28"/>
      <c r="G283" s="29" t="s">
        <v>283</v>
      </c>
      <c r="H283" s="28" t="s">
        <v>307</v>
      </c>
      <c r="I283" s="28" t="s">
        <v>308</v>
      </c>
      <c r="J283" s="28" t="s">
        <v>54</v>
      </c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28">
        <f t="shared" si="4"/>
        <v>0</v>
      </c>
      <c r="AN283" s="28"/>
    </row>
    <row r="284" spans="1:40">
      <c r="A284" s="28">
        <v>282</v>
      </c>
      <c r="B284" s="29">
        <v>127941</v>
      </c>
      <c r="C284" s="28" t="s">
        <v>344</v>
      </c>
      <c r="D284" s="28"/>
      <c r="E284" s="28">
        <v>20220628</v>
      </c>
      <c r="F284" s="28"/>
      <c r="G284" s="29" t="s">
        <v>283</v>
      </c>
      <c r="H284" s="28" t="s">
        <v>307</v>
      </c>
      <c r="I284" s="28" t="s">
        <v>308</v>
      </c>
      <c r="J284" s="28" t="s">
        <v>54</v>
      </c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28">
        <f t="shared" si="4"/>
        <v>0</v>
      </c>
      <c r="AN284" s="28"/>
    </row>
    <row r="285" spans="1:40">
      <c r="A285" s="28">
        <v>283</v>
      </c>
      <c r="B285" s="29">
        <v>128344</v>
      </c>
      <c r="C285" s="28" t="s">
        <v>345</v>
      </c>
      <c r="D285" s="28"/>
      <c r="E285" s="28">
        <v>20220728</v>
      </c>
      <c r="F285" s="28"/>
      <c r="G285" s="29" t="s">
        <v>283</v>
      </c>
      <c r="H285" s="28" t="s">
        <v>307</v>
      </c>
      <c r="I285" s="28" t="s">
        <v>308</v>
      </c>
      <c r="J285" s="28" t="s">
        <v>54</v>
      </c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28">
        <f t="shared" si="4"/>
        <v>0</v>
      </c>
      <c r="AN285" s="28"/>
    </row>
    <row r="286" spans="1:40">
      <c r="A286" s="28">
        <v>284</v>
      </c>
      <c r="B286" s="29">
        <v>131860</v>
      </c>
      <c r="C286" s="28" t="s">
        <v>365</v>
      </c>
      <c r="D286" s="28"/>
      <c r="E286" s="28">
        <v>20240909</v>
      </c>
      <c r="F286" s="28"/>
      <c r="G286" s="29" t="s">
        <v>283</v>
      </c>
      <c r="H286" s="28" t="s">
        <v>307</v>
      </c>
      <c r="I286" s="28" t="s">
        <v>308</v>
      </c>
      <c r="J286" s="28" t="s">
        <v>54</v>
      </c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28">
        <f t="shared" si="4"/>
        <v>0</v>
      </c>
      <c r="AN286" s="28"/>
    </row>
    <row r="287" spans="1:40">
      <c r="A287" s="28">
        <v>285</v>
      </c>
      <c r="B287" s="29">
        <v>133574</v>
      </c>
      <c r="C287" s="28" t="s">
        <v>381</v>
      </c>
      <c r="D287" s="28"/>
      <c r="E287" s="28">
        <v>20250115</v>
      </c>
      <c r="F287" s="28"/>
      <c r="G287" s="29" t="s">
        <v>283</v>
      </c>
      <c r="H287" s="28" t="s">
        <v>307</v>
      </c>
      <c r="I287" s="28" t="s">
        <v>308</v>
      </c>
      <c r="J287" s="28" t="s">
        <v>54</v>
      </c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>
        <v>4</v>
      </c>
      <c r="AF287" s="47"/>
      <c r="AG287" s="47"/>
      <c r="AH287" s="47"/>
      <c r="AI287" s="47"/>
      <c r="AJ287" s="47"/>
      <c r="AK287" s="47"/>
      <c r="AL287" s="47"/>
      <c r="AM287" s="28">
        <f t="shared" si="4"/>
        <v>4</v>
      </c>
      <c r="AN287" s="28"/>
    </row>
    <row r="288" spans="1:40">
      <c r="A288" s="28">
        <v>286</v>
      </c>
      <c r="B288" s="29">
        <v>133702</v>
      </c>
      <c r="C288" s="28" t="s">
        <v>383</v>
      </c>
      <c r="D288" s="28"/>
      <c r="E288" s="28">
        <v>20250203</v>
      </c>
      <c r="F288" s="28"/>
      <c r="G288" s="29" t="s">
        <v>283</v>
      </c>
      <c r="H288" s="28" t="s">
        <v>307</v>
      </c>
      <c r="I288" s="28" t="s">
        <v>308</v>
      </c>
      <c r="J288" s="28" t="s">
        <v>54</v>
      </c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28">
        <f t="shared" si="4"/>
        <v>0</v>
      </c>
      <c r="AN288" s="28"/>
    </row>
    <row r="289" spans="1:40">
      <c r="A289" s="28">
        <v>287</v>
      </c>
      <c r="B289" s="29">
        <v>134929</v>
      </c>
      <c r="C289" s="28" t="s">
        <v>398</v>
      </c>
      <c r="D289" s="28"/>
      <c r="E289" s="28">
        <v>20250520</v>
      </c>
      <c r="F289" s="28"/>
      <c r="G289" s="29" t="s">
        <v>283</v>
      </c>
      <c r="H289" s="28" t="s">
        <v>307</v>
      </c>
      <c r="I289" s="28" t="s">
        <v>308</v>
      </c>
      <c r="J289" s="28" t="s">
        <v>54</v>
      </c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28">
        <f t="shared" si="4"/>
        <v>0</v>
      </c>
      <c r="AN289" s="28"/>
    </row>
    <row r="290" spans="1:40">
      <c r="A290" s="28">
        <v>288</v>
      </c>
      <c r="B290" s="29">
        <v>134930</v>
      </c>
      <c r="C290" s="28" t="s">
        <v>399</v>
      </c>
      <c r="D290" s="28"/>
      <c r="E290" s="28">
        <v>20250520</v>
      </c>
      <c r="F290" s="28"/>
      <c r="G290" s="29" t="s">
        <v>283</v>
      </c>
      <c r="H290" s="28" t="s">
        <v>307</v>
      </c>
      <c r="I290" s="28" t="s">
        <v>308</v>
      </c>
      <c r="J290" s="28" t="s">
        <v>58</v>
      </c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28">
        <f t="shared" si="4"/>
        <v>0</v>
      </c>
      <c r="AN290" s="28"/>
    </row>
    <row r="291" spans="1:40">
      <c r="A291" s="28">
        <v>289</v>
      </c>
      <c r="B291" s="29">
        <v>135381</v>
      </c>
      <c r="C291" s="28" t="s">
        <v>405</v>
      </c>
      <c r="D291" s="28"/>
      <c r="E291" s="28">
        <v>20250901</v>
      </c>
      <c r="F291" s="28"/>
      <c r="G291" s="29" t="s">
        <v>283</v>
      </c>
      <c r="H291" s="28" t="s">
        <v>307</v>
      </c>
      <c r="I291" s="28" t="s">
        <v>308</v>
      </c>
      <c r="J291" s="28" t="s">
        <v>54</v>
      </c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28">
        <f t="shared" si="4"/>
        <v>0</v>
      </c>
      <c r="AN291" s="28"/>
    </row>
    <row r="292" spans="1:40">
      <c r="A292" s="28">
        <v>290</v>
      </c>
      <c r="B292" s="29">
        <v>135830</v>
      </c>
      <c r="C292" s="28" t="s">
        <v>414</v>
      </c>
      <c r="D292" s="28"/>
      <c r="E292" s="28">
        <v>20251204</v>
      </c>
      <c r="F292" s="28"/>
      <c r="G292" s="29" t="s">
        <v>283</v>
      </c>
      <c r="H292" s="28" t="s">
        <v>307</v>
      </c>
      <c r="I292" s="28" t="s">
        <v>308</v>
      </c>
      <c r="J292" s="28" t="s">
        <v>54</v>
      </c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28">
        <f t="shared" si="4"/>
        <v>0</v>
      </c>
      <c r="AN292" s="28"/>
    </row>
    <row r="293" spans="1:40">
      <c r="A293" s="28">
        <v>291</v>
      </c>
      <c r="B293" s="29">
        <v>700137</v>
      </c>
      <c r="C293" s="28" t="s">
        <v>424</v>
      </c>
      <c r="D293" s="28"/>
      <c r="E293" s="28">
        <v>20180607</v>
      </c>
      <c r="F293" s="28"/>
      <c r="G293" s="29" t="s">
        <v>283</v>
      </c>
      <c r="H293" s="28" t="s">
        <v>307</v>
      </c>
      <c r="I293" s="28" t="s">
        <v>308</v>
      </c>
      <c r="J293" s="28" t="s">
        <v>54</v>
      </c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28">
        <f t="shared" si="4"/>
        <v>0</v>
      </c>
      <c r="AN293" s="28"/>
    </row>
    <row r="294" spans="1:40">
      <c r="A294" s="28">
        <v>292</v>
      </c>
      <c r="B294" s="29">
        <v>701200</v>
      </c>
      <c r="C294" s="28" t="s">
        <v>426</v>
      </c>
      <c r="D294" s="28"/>
      <c r="E294" s="28">
        <v>20200514</v>
      </c>
      <c r="F294" s="28"/>
      <c r="G294" s="29" t="s">
        <v>283</v>
      </c>
      <c r="H294" s="28" t="s">
        <v>307</v>
      </c>
      <c r="I294" s="28" t="s">
        <v>308</v>
      </c>
      <c r="J294" s="28" t="s">
        <v>54</v>
      </c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28">
        <f t="shared" si="4"/>
        <v>0</v>
      </c>
      <c r="AN294" s="28"/>
    </row>
    <row r="295" spans="1:40">
      <c r="A295" s="28">
        <v>293</v>
      </c>
      <c r="B295" s="29">
        <v>701672</v>
      </c>
      <c r="C295" s="28" t="s">
        <v>427</v>
      </c>
      <c r="D295" s="28"/>
      <c r="E295" s="28">
        <v>20220222</v>
      </c>
      <c r="F295" s="28"/>
      <c r="G295" s="29" t="s">
        <v>283</v>
      </c>
      <c r="H295" s="28" t="s">
        <v>307</v>
      </c>
      <c r="I295" s="28" t="s">
        <v>308</v>
      </c>
      <c r="J295" s="28" t="s">
        <v>54</v>
      </c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28">
        <f t="shared" si="4"/>
        <v>0</v>
      </c>
      <c r="AN295" s="28"/>
    </row>
    <row r="296" spans="1:40">
      <c r="A296" s="28">
        <v>294</v>
      </c>
      <c r="B296" s="29">
        <v>100324</v>
      </c>
      <c r="C296" s="28" t="s">
        <v>287</v>
      </c>
      <c r="D296" s="28"/>
      <c r="E296" s="28">
        <v>20150512</v>
      </c>
      <c r="F296" s="28"/>
      <c r="G296" s="29" t="s">
        <v>283</v>
      </c>
      <c r="H296" s="28" t="s">
        <v>288</v>
      </c>
      <c r="I296" s="28" t="s">
        <v>289</v>
      </c>
      <c r="J296" s="28" t="s">
        <v>54</v>
      </c>
      <c r="K296" s="47"/>
      <c r="L296" s="47">
        <v>2</v>
      </c>
      <c r="M296" s="47">
        <v>2</v>
      </c>
      <c r="N296" s="47">
        <v>2</v>
      </c>
      <c r="O296" s="47"/>
      <c r="P296" s="47">
        <v>2</v>
      </c>
      <c r="Q296" s="47">
        <v>5</v>
      </c>
      <c r="R296" s="47"/>
      <c r="S296" s="47"/>
      <c r="T296" s="47"/>
      <c r="U296" s="47"/>
      <c r="V296" s="47"/>
      <c r="W296" s="47"/>
      <c r="X296" s="47">
        <v>5</v>
      </c>
      <c r="Y296" s="47"/>
      <c r="Z296" s="47"/>
      <c r="AA296" s="47"/>
      <c r="AB296" s="47"/>
      <c r="AC296" s="47"/>
      <c r="AD296" s="47"/>
      <c r="AE296" s="47"/>
      <c r="AF296" s="47"/>
      <c r="AG296" s="47">
        <v>2</v>
      </c>
      <c r="AH296" s="47">
        <v>2</v>
      </c>
      <c r="AI296" s="47"/>
      <c r="AJ296" s="47">
        <v>2</v>
      </c>
      <c r="AK296" s="47">
        <v>2</v>
      </c>
      <c r="AL296" s="47">
        <v>5</v>
      </c>
      <c r="AM296" s="28">
        <f t="shared" si="4"/>
        <v>31</v>
      </c>
      <c r="AN296" s="28"/>
    </row>
    <row r="297" spans="1:40">
      <c r="A297" s="28">
        <v>295</v>
      </c>
      <c r="B297" s="29">
        <v>101531</v>
      </c>
      <c r="C297" s="28" t="s">
        <v>296</v>
      </c>
      <c r="D297" s="28"/>
      <c r="E297" s="28">
        <v>20151229</v>
      </c>
      <c r="F297" s="28"/>
      <c r="G297" s="29" t="s">
        <v>283</v>
      </c>
      <c r="H297" s="28" t="s">
        <v>288</v>
      </c>
      <c r="I297" s="28" t="s">
        <v>289</v>
      </c>
      <c r="J297" s="28" t="s">
        <v>54</v>
      </c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>
        <v>2</v>
      </c>
      <c r="AK297" s="47">
        <v>2</v>
      </c>
      <c r="AL297" s="47">
        <v>5</v>
      </c>
      <c r="AM297" s="28">
        <f t="shared" si="4"/>
        <v>9</v>
      </c>
      <c r="AN297" s="28"/>
    </row>
    <row r="298" spans="1:40">
      <c r="A298" s="28">
        <v>296</v>
      </c>
      <c r="B298" s="29">
        <v>115513</v>
      </c>
      <c r="C298" s="28" t="s">
        <v>322</v>
      </c>
      <c r="D298" s="28"/>
      <c r="E298" s="28">
        <v>20190704</v>
      </c>
      <c r="F298" s="28"/>
      <c r="G298" s="29" t="s">
        <v>283</v>
      </c>
      <c r="H298" s="28" t="s">
        <v>288</v>
      </c>
      <c r="I298" s="28" t="s">
        <v>289</v>
      </c>
      <c r="J298" s="28" t="s">
        <v>54</v>
      </c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28">
        <f t="shared" si="4"/>
        <v>0</v>
      </c>
      <c r="AN298" s="28"/>
    </row>
    <row r="299" spans="1:40">
      <c r="A299" s="28">
        <v>297</v>
      </c>
      <c r="B299" s="29">
        <v>130035</v>
      </c>
      <c r="C299" s="28" t="s">
        <v>353</v>
      </c>
      <c r="D299" s="28"/>
      <c r="E299" s="28">
        <v>20240305</v>
      </c>
      <c r="F299" s="28"/>
      <c r="G299" s="29" t="s">
        <v>283</v>
      </c>
      <c r="H299" s="28" t="s">
        <v>288</v>
      </c>
      <c r="I299" s="28" t="s">
        <v>289</v>
      </c>
      <c r="J299" s="28" t="s">
        <v>54</v>
      </c>
      <c r="K299" s="47"/>
      <c r="L299" s="47"/>
      <c r="M299" s="47"/>
      <c r="N299" s="47"/>
      <c r="O299" s="47"/>
      <c r="P299" s="47">
        <v>2</v>
      </c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>
        <v>2</v>
      </c>
      <c r="AH299" s="47">
        <v>2</v>
      </c>
      <c r="AI299" s="47"/>
      <c r="AJ299" s="47">
        <v>2</v>
      </c>
      <c r="AK299" s="47">
        <v>2</v>
      </c>
      <c r="AL299" s="47"/>
      <c r="AM299" s="28">
        <f t="shared" si="4"/>
        <v>10</v>
      </c>
      <c r="AN299" s="28"/>
    </row>
    <row r="300" spans="1:40">
      <c r="A300" s="28">
        <v>298</v>
      </c>
      <c r="B300" s="29">
        <v>131015</v>
      </c>
      <c r="C300" s="28" t="s">
        <v>362</v>
      </c>
      <c r="D300" s="28"/>
      <c r="E300" s="28">
        <v>20240711</v>
      </c>
      <c r="F300" s="28"/>
      <c r="G300" s="29" t="s">
        <v>283</v>
      </c>
      <c r="H300" s="28" t="s">
        <v>288</v>
      </c>
      <c r="I300" s="28" t="s">
        <v>289</v>
      </c>
      <c r="J300" s="28" t="s">
        <v>54</v>
      </c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28">
        <f t="shared" si="4"/>
        <v>0</v>
      </c>
      <c r="AN300" s="28"/>
    </row>
    <row r="301" spans="1:40">
      <c r="A301" s="28">
        <v>299</v>
      </c>
      <c r="B301" s="29">
        <v>133041</v>
      </c>
      <c r="C301" s="28" t="s">
        <v>374</v>
      </c>
      <c r="D301" s="28"/>
      <c r="E301" s="28">
        <v>20241119</v>
      </c>
      <c r="F301" s="28"/>
      <c r="G301" s="29" t="s">
        <v>283</v>
      </c>
      <c r="H301" s="28" t="s">
        <v>288</v>
      </c>
      <c r="I301" s="28" t="s">
        <v>289</v>
      </c>
      <c r="J301" s="28" t="s">
        <v>54</v>
      </c>
      <c r="K301" s="47"/>
      <c r="L301" s="47">
        <v>2</v>
      </c>
      <c r="M301" s="47">
        <v>2</v>
      </c>
      <c r="N301" s="47">
        <v>2</v>
      </c>
      <c r="O301" s="47"/>
      <c r="P301" s="47">
        <v>2</v>
      </c>
      <c r="Q301" s="47">
        <v>5</v>
      </c>
      <c r="R301" s="47"/>
      <c r="S301" s="47">
        <v>2</v>
      </c>
      <c r="T301" s="47"/>
      <c r="U301" s="47"/>
      <c r="V301" s="47"/>
      <c r="W301" s="47"/>
      <c r="X301" s="47">
        <v>5</v>
      </c>
      <c r="Y301" s="47"/>
      <c r="Z301" s="47"/>
      <c r="AA301" s="47"/>
      <c r="AB301" s="47"/>
      <c r="AC301" s="47"/>
      <c r="AD301" s="47"/>
      <c r="AE301" s="47"/>
      <c r="AF301" s="47"/>
      <c r="AG301" s="47">
        <v>2</v>
      </c>
      <c r="AH301" s="47">
        <v>2</v>
      </c>
      <c r="AI301" s="47">
        <v>2</v>
      </c>
      <c r="AJ301" s="47">
        <v>2</v>
      </c>
      <c r="AK301" s="47">
        <v>2</v>
      </c>
      <c r="AL301" s="47">
        <v>4</v>
      </c>
      <c r="AM301" s="28">
        <f t="shared" si="4"/>
        <v>34</v>
      </c>
      <c r="AN301" s="28"/>
    </row>
    <row r="302" spans="1:40">
      <c r="A302" s="28">
        <v>300</v>
      </c>
      <c r="B302" s="29">
        <v>134042</v>
      </c>
      <c r="C302" s="28" t="s">
        <v>373</v>
      </c>
      <c r="D302" s="28"/>
      <c r="E302" s="28">
        <v>20250305</v>
      </c>
      <c r="F302" s="28"/>
      <c r="G302" s="29" t="s">
        <v>283</v>
      </c>
      <c r="H302" s="28" t="s">
        <v>288</v>
      </c>
      <c r="I302" s="28" t="s">
        <v>289</v>
      </c>
      <c r="J302" s="28" t="s">
        <v>54</v>
      </c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>
        <v>2</v>
      </c>
      <c r="AI302" s="47">
        <v>2</v>
      </c>
      <c r="AJ302" s="47"/>
      <c r="AK302" s="47"/>
      <c r="AL302" s="47"/>
      <c r="AM302" s="28">
        <f t="shared" si="4"/>
        <v>4</v>
      </c>
      <c r="AN302" s="28"/>
    </row>
    <row r="303" spans="1:40">
      <c r="A303" s="28">
        <v>301</v>
      </c>
      <c r="B303" s="29">
        <v>134400</v>
      </c>
      <c r="C303" s="28" t="s">
        <v>394</v>
      </c>
      <c r="D303" s="28"/>
      <c r="E303" s="28">
        <v>20250423</v>
      </c>
      <c r="F303" s="28"/>
      <c r="G303" s="29" t="s">
        <v>283</v>
      </c>
      <c r="H303" s="28" t="s">
        <v>288</v>
      </c>
      <c r="I303" s="28" t="s">
        <v>289</v>
      </c>
      <c r="J303" s="28" t="s">
        <v>54</v>
      </c>
      <c r="K303" s="47"/>
      <c r="L303" s="47"/>
      <c r="M303" s="47">
        <v>2</v>
      </c>
      <c r="N303" s="47">
        <v>2</v>
      </c>
      <c r="O303" s="47"/>
      <c r="P303" s="47"/>
      <c r="Q303" s="47"/>
      <c r="R303" s="47"/>
      <c r="S303" s="47"/>
      <c r="T303" s="47"/>
      <c r="U303" s="47"/>
      <c r="V303" s="47"/>
      <c r="W303" s="47"/>
      <c r="X303" s="47">
        <v>5</v>
      </c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>
        <v>4</v>
      </c>
      <c r="AM303" s="28">
        <f t="shared" si="4"/>
        <v>13</v>
      </c>
      <c r="AN303" s="28"/>
    </row>
    <row r="304" spans="1:40">
      <c r="A304" s="28">
        <v>302</v>
      </c>
      <c r="B304" s="29">
        <v>134931</v>
      </c>
      <c r="C304" s="28" t="s">
        <v>305</v>
      </c>
      <c r="D304" s="28"/>
      <c r="E304" s="28">
        <v>20250520</v>
      </c>
      <c r="F304" s="28"/>
      <c r="G304" s="29" t="s">
        <v>283</v>
      </c>
      <c r="H304" s="28" t="s">
        <v>288</v>
      </c>
      <c r="I304" s="28" t="s">
        <v>289</v>
      </c>
      <c r="J304" s="28" t="s">
        <v>54</v>
      </c>
      <c r="K304" s="47"/>
      <c r="L304" s="47">
        <v>2</v>
      </c>
      <c r="M304" s="47">
        <v>2</v>
      </c>
      <c r="N304" s="47">
        <v>2</v>
      </c>
      <c r="O304" s="47"/>
      <c r="P304" s="47">
        <v>2</v>
      </c>
      <c r="Q304" s="47"/>
      <c r="R304" s="47"/>
      <c r="S304" s="47">
        <v>2</v>
      </c>
      <c r="T304" s="47"/>
      <c r="U304" s="47"/>
      <c r="V304" s="47"/>
      <c r="W304" s="47"/>
      <c r="X304" s="47">
        <v>5</v>
      </c>
      <c r="Y304" s="47"/>
      <c r="Z304" s="47"/>
      <c r="AA304" s="47"/>
      <c r="AB304" s="47"/>
      <c r="AC304" s="47"/>
      <c r="AD304" s="47"/>
      <c r="AE304" s="47"/>
      <c r="AF304" s="47"/>
      <c r="AG304" s="47">
        <v>2</v>
      </c>
      <c r="AH304" s="47">
        <v>2</v>
      </c>
      <c r="AI304" s="47">
        <v>2</v>
      </c>
      <c r="AJ304" s="47">
        <v>2</v>
      </c>
      <c r="AK304" s="47">
        <v>2</v>
      </c>
      <c r="AL304" s="47">
        <v>5</v>
      </c>
      <c r="AM304" s="28">
        <f t="shared" si="4"/>
        <v>30</v>
      </c>
      <c r="AN304" s="28"/>
    </row>
    <row r="305" spans="1:40">
      <c r="A305" s="28">
        <v>303</v>
      </c>
      <c r="B305" s="29">
        <v>135023</v>
      </c>
      <c r="C305" s="28" t="s">
        <v>338</v>
      </c>
      <c r="D305" s="28"/>
      <c r="E305" s="28">
        <v>20250626</v>
      </c>
      <c r="F305" s="28"/>
      <c r="G305" s="29" t="s">
        <v>283</v>
      </c>
      <c r="H305" s="28" t="s">
        <v>288</v>
      </c>
      <c r="I305" s="28" t="s">
        <v>289</v>
      </c>
      <c r="J305" s="28" t="s">
        <v>54</v>
      </c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>
        <v>2</v>
      </c>
      <c r="AK305" s="47">
        <v>2</v>
      </c>
      <c r="AL305" s="47">
        <v>5</v>
      </c>
      <c r="AM305" s="28">
        <f t="shared" si="4"/>
        <v>9</v>
      </c>
      <c r="AN305" s="28"/>
    </row>
    <row r="306" spans="1:40">
      <c r="A306" s="28">
        <v>304</v>
      </c>
      <c r="B306" s="29">
        <v>135024</v>
      </c>
      <c r="C306" s="28" t="s">
        <v>402</v>
      </c>
      <c r="D306" s="28"/>
      <c r="E306" s="28">
        <v>20250626</v>
      </c>
      <c r="F306" s="28"/>
      <c r="G306" s="29" t="s">
        <v>283</v>
      </c>
      <c r="H306" s="28" t="s">
        <v>288</v>
      </c>
      <c r="I306" s="28" t="s">
        <v>289</v>
      </c>
      <c r="J306" s="28" t="s">
        <v>54</v>
      </c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>
        <v>2</v>
      </c>
      <c r="AK306" s="47">
        <v>2</v>
      </c>
      <c r="AL306" s="47">
        <v>5</v>
      </c>
      <c r="AM306" s="28">
        <f t="shared" si="4"/>
        <v>9</v>
      </c>
      <c r="AN306" s="28"/>
    </row>
    <row r="307" spans="1:40">
      <c r="A307" s="28">
        <v>305</v>
      </c>
      <c r="B307" s="29">
        <v>136015</v>
      </c>
      <c r="C307" s="28" t="s">
        <v>417</v>
      </c>
      <c r="D307" s="28"/>
      <c r="E307" s="28">
        <v>20260115</v>
      </c>
      <c r="F307" s="28"/>
      <c r="G307" s="29" t="s">
        <v>283</v>
      </c>
      <c r="H307" s="28" t="s">
        <v>288</v>
      </c>
      <c r="I307" s="28" t="s">
        <v>289</v>
      </c>
      <c r="J307" s="28" t="s">
        <v>58</v>
      </c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28">
        <f t="shared" si="4"/>
        <v>0</v>
      </c>
      <c r="AN307" s="28"/>
    </row>
    <row r="308" spans="1:40">
      <c r="A308" s="28">
        <v>306</v>
      </c>
      <c r="B308" s="29">
        <v>136016</v>
      </c>
      <c r="C308" s="28" t="s">
        <v>419</v>
      </c>
      <c r="D308" s="28"/>
      <c r="E308" s="28">
        <v>20260115</v>
      </c>
      <c r="F308" s="28"/>
      <c r="G308" s="29" t="s">
        <v>283</v>
      </c>
      <c r="H308" s="28" t="s">
        <v>288</v>
      </c>
      <c r="I308" s="28" t="s">
        <v>289</v>
      </c>
      <c r="J308" s="28" t="s">
        <v>54</v>
      </c>
      <c r="K308" s="47"/>
      <c r="L308" s="47">
        <v>2</v>
      </c>
      <c r="M308" s="47">
        <v>2</v>
      </c>
      <c r="N308" s="47">
        <v>2</v>
      </c>
      <c r="O308" s="47"/>
      <c r="P308" s="47">
        <v>2</v>
      </c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>
        <v>2</v>
      </c>
      <c r="AI308" s="47">
        <v>2</v>
      </c>
      <c r="AJ308" s="47">
        <v>2</v>
      </c>
      <c r="AK308" s="47">
        <v>2</v>
      </c>
      <c r="AL308" s="47">
        <v>5</v>
      </c>
      <c r="AM308" s="28">
        <f t="shared" si="4"/>
        <v>21</v>
      </c>
      <c r="AN308" s="28"/>
    </row>
    <row r="309" spans="1:40">
      <c r="A309" s="28">
        <v>307</v>
      </c>
      <c r="B309" s="29">
        <v>104727</v>
      </c>
      <c r="C309" s="28" t="s">
        <v>302</v>
      </c>
      <c r="D309" s="28"/>
      <c r="E309" s="28">
        <v>20161003</v>
      </c>
      <c r="F309" s="28"/>
      <c r="G309" s="29" t="s">
        <v>283</v>
      </c>
      <c r="H309" s="28" t="s">
        <v>303</v>
      </c>
      <c r="I309" s="28" t="s">
        <v>304</v>
      </c>
      <c r="J309" s="28" t="s">
        <v>54</v>
      </c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>
        <v>8</v>
      </c>
      <c r="W309" s="47">
        <v>8</v>
      </c>
      <c r="X309" s="47"/>
      <c r="Y309" s="47"/>
      <c r="Z309" s="47">
        <v>8</v>
      </c>
      <c r="AA309" s="47">
        <v>8</v>
      </c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28">
        <f t="shared" si="4"/>
        <v>32</v>
      </c>
      <c r="AN309" s="28"/>
    </row>
    <row r="310" spans="1:40">
      <c r="A310" s="28">
        <v>308</v>
      </c>
      <c r="B310" s="29">
        <v>118025</v>
      </c>
      <c r="C310" s="28" t="s">
        <v>325</v>
      </c>
      <c r="D310" s="28"/>
      <c r="E310" s="28">
        <v>20191024</v>
      </c>
      <c r="F310" s="28"/>
      <c r="G310" s="29" t="s">
        <v>283</v>
      </c>
      <c r="H310" s="28" t="s">
        <v>303</v>
      </c>
      <c r="I310" s="28" t="s">
        <v>304</v>
      </c>
      <c r="J310" s="28" t="s">
        <v>54</v>
      </c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>
        <v>8</v>
      </c>
      <c r="W310" s="47">
        <v>8</v>
      </c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28">
        <f t="shared" si="4"/>
        <v>16</v>
      </c>
      <c r="AN310" s="28"/>
    </row>
    <row r="311" spans="1:40">
      <c r="A311" s="28">
        <v>309</v>
      </c>
      <c r="B311" s="29">
        <v>120782</v>
      </c>
      <c r="C311" s="28" t="s">
        <v>332</v>
      </c>
      <c r="D311" s="28"/>
      <c r="E311" s="28">
        <v>20200507</v>
      </c>
      <c r="F311" s="28"/>
      <c r="G311" s="29" t="s">
        <v>283</v>
      </c>
      <c r="H311" s="28" t="s">
        <v>303</v>
      </c>
      <c r="I311" s="28" t="s">
        <v>304</v>
      </c>
      <c r="J311" s="28" t="s">
        <v>54</v>
      </c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>
        <v>8</v>
      </c>
      <c r="AA311" s="47">
        <v>8</v>
      </c>
      <c r="AB311" s="47">
        <v>0.5</v>
      </c>
      <c r="AC311" s="47">
        <v>0.5</v>
      </c>
      <c r="AD311" s="47">
        <v>0.5</v>
      </c>
      <c r="AE311" s="47"/>
      <c r="AF311" s="47"/>
      <c r="AG311" s="47"/>
      <c r="AH311" s="47"/>
      <c r="AI311" s="47"/>
      <c r="AJ311" s="47"/>
      <c r="AK311" s="47"/>
      <c r="AL311" s="47"/>
      <c r="AM311" s="28">
        <f t="shared" si="4"/>
        <v>17.5</v>
      </c>
      <c r="AN311" s="28"/>
    </row>
    <row r="312" spans="1:40">
      <c r="A312" s="28">
        <v>310</v>
      </c>
      <c r="B312" s="41">
        <v>131864</v>
      </c>
      <c r="C312" s="40" t="s">
        <v>366</v>
      </c>
      <c r="D312" s="40"/>
      <c r="E312" s="40">
        <v>20240909</v>
      </c>
      <c r="F312" s="40">
        <v>20260201</v>
      </c>
      <c r="G312" s="41" t="s">
        <v>283</v>
      </c>
      <c r="H312" s="40" t="s">
        <v>303</v>
      </c>
      <c r="I312" s="40" t="s">
        <v>304</v>
      </c>
      <c r="J312" s="40" t="s">
        <v>54</v>
      </c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28">
        <f t="shared" si="4"/>
        <v>0</v>
      </c>
      <c r="AN312" s="28"/>
    </row>
    <row r="313" spans="1:40">
      <c r="A313" s="28">
        <v>311</v>
      </c>
      <c r="B313" s="29">
        <v>132248</v>
      </c>
      <c r="C313" s="28" t="s">
        <v>367</v>
      </c>
      <c r="D313" s="28"/>
      <c r="E313" s="28">
        <v>20241001</v>
      </c>
      <c r="F313" s="28"/>
      <c r="G313" s="29" t="s">
        <v>283</v>
      </c>
      <c r="H313" s="28" t="s">
        <v>303</v>
      </c>
      <c r="I313" s="28" t="s">
        <v>304</v>
      </c>
      <c r="J313" s="28" t="s">
        <v>54</v>
      </c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>
        <v>8</v>
      </c>
      <c r="W313" s="47">
        <v>8</v>
      </c>
      <c r="X313" s="47"/>
      <c r="Y313" s="47"/>
      <c r="Z313" s="47">
        <v>8</v>
      </c>
      <c r="AA313" s="47">
        <v>8</v>
      </c>
      <c r="AB313" s="47">
        <v>0.5</v>
      </c>
      <c r="AC313" s="47">
        <v>0.5</v>
      </c>
      <c r="AD313" s="47">
        <v>0.5</v>
      </c>
      <c r="AE313" s="47">
        <v>0.5</v>
      </c>
      <c r="AF313" s="47"/>
      <c r="AG313" s="47"/>
      <c r="AH313" s="47"/>
      <c r="AI313" s="47"/>
      <c r="AJ313" s="47"/>
      <c r="AK313" s="47"/>
      <c r="AL313" s="47"/>
      <c r="AM313" s="28">
        <f t="shared" si="4"/>
        <v>34</v>
      </c>
      <c r="AN313" s="28"/>
    </row>
    <row r="314" spans="1:40">
      <c r="A314" s="28">
        <v>312</v>
      </c>
      <c r="B314" s="29">
        <v>133748</v>
      </c>
      <c r="C314" s="28" t="s">
        <v>384</v>
      </c>
      <c r="D314" s="28"/>
      <c r="E314" s="28">
        <v>20250210</v>
      </c>
      <c r="F314" s="28"/>
      <c r="G314" s="29" t="s">
        <v>283</v>
      </c>
      <c r="H314" s="28" t="s">
        <v>303</v>
      </c>
      <c r="I314" s="28" t="s">
        <v>304</v>
      </c>
      <c r="J314" s="28" t="s">
        <v>54</v>
      </c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28">
        <f t="shared" si="4"/>
        <v>0</v>
      </c>
      <c r="AN314" s="28"/>
    </row>
    <row r="315" spans="1:40">
      <c r="A315" s="28">
        <v>313</v>
      </c>
      <c r="B315" s="29">
        <v>133991</v>
      </c>
      <c r="C315" s="28" t="s">
        <v>388</v>
      </c>
      <c r="D315" s="28"/>
      <c r="E315" s="28">
        <v>20250303</v>
      </c>
      <c r="F315" s="28"/>
      <c r="G315" s="29" t="s">
        <v>283</v>
      </c>
      <c r="H315" s="28" t="s">
        <v>303</v>
      </c>
      <c r="I315" s="28" t="s">
        <v>304</v>
      </c>
      <c r="J315" s="28" t="s">
        <v>58</v>
      </c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28">
        <f t="shared" si="4"/>
        <v>0</v>
      </c>
      <c r="AN315" s="28"/>
    </row>
    <row r="316" spans="1:40">
      <c r="A316" s="28">
        <v>314</v>
      </c>
      <c r="B316" s="29">
        <v>135824</v>
      </c>
      <c r="C316" s="28" t="s">
        <v>411</v>
      </c>
      <c r="D316" s="28"/>
      <c r="E316" s="28">
        <v>20251125</v>
      </c>
      <c r="F316" s="28"/>
      <c r="G316" s="29" t="s">
        <v>283</v>
      </c>
      <c r="H316" s="28" t="s">
        <v>303</v>
      </c>
      <c r="I316" s="28" t="s">
        <v>304</v>
      </c>
      <c r="J316" s="28" t="s">
        <v>54</v>
      </c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>
        <v>0.5</v>
      </c>
      <c r="AC316" s="47">
        <v>0.5</v>
      </c>
      <c r="AD316" s="47">
        <v>0.5</v>
      </c>
      <c r="AE316" s="47">
        <v>0.5</v>
      </c>
      <c r="AF316" s="47"/>
      <c r="AG316" s="47"/>
      <c r="AH316" s="47"/>
      <c r="AI316" s="47"/>
      <c r="AJ316" s="47"/>
      <c r="AK316" s="47"/>
      <c r="AL316" s="47"/>
      <c r="AM316" s="28">
        <f t="shared" si="4"/>
        <v>2</v>
      </c>
      <c r="AN316" s="28"/>
    </row>
    <row r="317" spans="1:40">
      <c r="A317" s="28">
        <v>315</v>
      </c>
      <c r="B317" s="45">
        <v>135825</v>
      </c>
      <c r="C317" s="44" t="s">
        <v>412</v>
      </c>
      <c r="D317" s="44"/>
      <c r="E317" s="44">
        <v>20251125</v>
      </c>
      <c r="F317" s="44">
        <v>20260205</v>
      </c>
      <c r="G317" s="45" t="s">
        <v>283</v>
      </c>
      <c r="H317" s="44" t="s">
        <v>303</v>
      </c>
      <c r="I317" s="44" t="s">
        <v>304</v>
      </c>
      <c r="J317" s="44" t="s">
        <v>54</v>
      </c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28">
        <f t="shared" si="4"/>
        <v>0</v>
      </c>
      <c r="AN317" s="28"/>
    </row>
    <row r="318" spans="1:40">
      <c r="A318" s="28">
        <v>316</v>
      </c>
      <c r="B318" s="29">
        <v>135891</v>
      </c>
      <c r="C318" s="28" t="s">
        <v>416</v>
      </c>
      <c r="D318" s="28"/>
      <c r="E318" s="28">
        <v>20251217</v>
      </c>
      <c r="F318" s="28"/>
      <c r="G318" s="29" t="s">
        <v>283</v>
      </c>
      <c r="H318" s="28" t="s">
        <v>303</v>
      </c>
      <c r="I318" s="28" t="s">
        <v>304</v>
      </c>
      <c r="J318" s="28" t="s">
        <v>58</v>
      </c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>
        <v>0.5</v>
      </c>
      <c r="AC318" s="47"/>
      <c r="AD318" s="47">
        <v>0.5</v>
      </c>
      <c r="AE318" s="47">
        <v>0.5</v>
      </c>
      <c r="AF318" s="47"/>
      <c r="AG318" s="47"/>
      <c r="AH318" s="47"/>
      <c r="AI318" s="47"/>
      <c r="AJ318" s="47"/>
      <c r="AK318" s="47"/>
      <c r="AL318" s="47"/>
      <c r="AM318" s="28">
        <f t="shared" si="4"/>
        <v>1.5</v>
      </c>
      <c r="AN318" s="28"/>
    </row>
    <row r="319" spans="1:40">
      <c r="A319" s="28">
        <v>317</v>
      </c>
      <c r="B319" s="29">
        <v>135892</v>
      </c>
      <c r="C319" s="28" t="s">
        <v>334</v>
      </c>
      <c r="D319" s="28"/>
      <c r="E319" s="28">
        <v>20251217</v>
      </c>
      <c r="F319" s="28"/>
      <c r="G319" s="29" t="s">
        <v>283</v>
      </c>
      <c r="H319" s="28" t="s">
        <v>303</v>
      </c>
      <c r="I319" s="28" t="s">
        <v>304</v>
      </c>
      <c r="J319" s="28" t="s">
        <v>54</v>
      </c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>
        <v>8</v>
      </c>
      <c r="W319" s="47">
        <v>8</v>
      </c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28">
        <f t="shared" si="4"/>
        <v>16</v>
      </c>
      <c r="AN319" s="28"/>
    </row>
    <row r="320" spans="1:40">
      <c r="A320" s="28">
        <v>318</v>
      </c>
      <c r="B320" s="29">
        <v>109188</v>
      </c>
      <c r="C320" s="28" t="s">
        <v>314</v>
      </c>
      <c r="D320" s="28"/>
      <c r="E320" s="28">
        <v>20170704</v>
      </c>
      <c r="F320" s="28"/>
      <c r="G320" s="29" t="s">
        <v>283</v>
      </c>
      <c r="H320" s="28" t="s">
        <v>315</v>
      </c>
      <c r="I320" s="28" t="s">
        <v>316</v>
      </c>
      <c r="J320" s="28" t="s">
        <v>54</v>
      </c>
      <c r="K320" s="47"/>
      <c r="L320" s="47"/>
      <c r="M320" s="47"/>
      <c r="N320" s="47"/>
      <c r="O320" s="47"/>
      <c r="P320" s="47">
        <v>2</v>
      </c>
      <c r="Q320" s="47">
        <v>5</v>
      </c>
      <c r="R320" s="47"/>
      <c r="S320" s="47">
        <v>2</v>
      </c>
      <c r="T320" s="47">
        <v>2</v>
      </c>
      <c r="U320" s="47">
        <v>2</v>
      </c>
      <c r="V320" s="47"/>
      <c r="W320" s="47"/>
      <c r="X320" s="47">
        <v>5</v>
      </c>
      <c r="Y320" s="47"/>
      <c r="Z320" s="47"/>
      <c r="AA320" s="47"/>
      <c r="AB320" s="47">
        <v>2</v>
      </c>
      <c r="AC320" s="47">
        <v>2</v>
      </c>
      <c r="AD320" s="47">
        <v>1</v>
      </c>
      <c r="AE320" s="47">
        <v>1</v>
      </c>
      <c r="AF320" s="47"/>
      <c r="AG320" s="47">
        <v>2</v>
      </c>
      <c r="AH320" s="47">
        <v>0.5</v>
      </c>
      <c r="AI320" s="47">
        <v>1.5</v>
      </c>
      <c r="AJ320" s="47">
        <v>2</v>
      </c>
      <c r="AK320" s="47">
        <v>2</v>
      </c>
      <c r="AL320" s="47">
        <v>3.5</v>
      </c>
      <c r="AM320" s="28">
        <f t="shared" si="4"/>
        <v>35.5</v>
      </c>
      <c r="AN320" s="28"/>
    </row>
    <row r="321" spans="1:40">
      <c r="A321" s="28">
        <v>319</v>
      </c>
      <c r="B321" s="29">
        <v>110451</v>
      </c>
      <c r="C321" s="28" t="s">
        <v>319</v>
      </c>
      <c r="D321" s="28"/>
      <c r="E321" s="28">
        <v>20180222</v>
      </c>
      <c r="F321" s="28"/>
      <c r="G321" s="29" t="s">
        <v>283</v>
      </c>
      <c r="H321" s="28" t="s">
        <v>315</v>
      </c>
      <c r="I321" s="28" t="s">
        <v>316</v>
      </c>
      <c r="J321" s="28" t="s">
        <v>58</v>
      </c>
      <c r="K321" s="47"/>
      <c r="L321" s="47"/>
      <c r="M321" s="47"/>
      <c r="N321" s="47"/>
      <c r="O321" s="47"/>
      <c r="P321" s="47"/>
      <c r="Q321" s="47"/>
      <c r="R321" s="47"/>
      <c r="S321" s="47"/>
      <c r="T321" s="47">
        <v>0.5</v>
      </c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28">
        <f t="shared" si="4"/>
        <v>0.5</v>
      </c>
      <c r="AN321" s="28"/>
    </row>
    <row r="322" spans="1:40">
      <c r="A322" s="28">
        <v>320</v>
      </c>
      <c r="B322" s="29">
        <v>112008</v>
      </c>
      <c r="C322" s="28" t="s">
        <v>320</v>
      </c>
      <c r="D322" s="28"/>
      <c r="E322" s="28">
        <v>20180619</v>
      </c>
      <c r="F322" s="28"/>
      <c r="G322" s="29" t="s">
        <v>283</v>
      </c>
      <c r="H322" s="28" t="s">
        <v>315</v>
      </c>
      <c r="I322" s="28" t="s">
        <v>316</v>
      </c>
      <c r="J322" s="28" t="s">
        <v>58</v>
      </c>
      <c r="K322" s="47"/>
      <c r="L322" s="47"/>
      <c r="M322" s="47"/>
      <c r="N322" s="47"/>
      <c r="O322" s="47"/>
      <c r="P322" s="47"/>
      <c r="Q322" s="47"/>
      <c r="R322" s="47"/>
      <c r="S322" s="47">
        <v>0.5</v>
      </c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28">
        <f t="shared" si="4"/>
        <v>0.5</v>
      </c>
      <c r="AN322" s="28"/>
    </row>
    <row r="323" spans="1:40">
      <c r="A323" s="28">
        <v>321</v>
      </c>
      <c r="B323" s="29">
        <v>124548</v>
      </c>
      <c r="C323" s="28" t="s">
        <v>333</v>
      </c>
      <c r="D323" s="28"/>
      <c r="E323" s="28">
        <v>20220113</v>
      </c>
      <c r="F323" s="28"/>
      <c r="G323" s="29" t="s">
        <v>283</v>
      </c>
      <c r="H323" s="28" t="s">
        <v>315</v>
      </c>
      <c r="I323" s="28" t="s">
        <v>316</v>
      </c>
      <c r="J323" s="28" t="s">
        <v>54</v>
      </c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28">
        <f t="shared" ref="AM323:AM334" si="5">SUM(K323:AL323)</f>
        <v>0</v>
      </c>
      <c r="AN323" s="28"/>
    </row>
    <row r="324" spans="1:40">
      <c r="A324" s="28">
        <v>322</v>
      </c>
      <c r="B324" s="29">
        <v>130305</v>
      </c>
      <c r="C324" s="28" t="s">
        <v>355</v>
      </c>
      <c r="D324" s="28"/>
      <c r="E324" s="28">
        <v>20240321</v>
      </c>
      <c r="F324" s="28"/>
      <c r="G324" s="29" t="s">
        <v>283</v>
      </c>
      <c r="H324" s="28" t="s">
        <v>315</v>
      </c>
      <c r="I324" s="28" t="s">
        <v>316</v>
      </c>
      <c r="J324" s="28" t="s">
        <v>58</v>
      </c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28">
        <f t="shared" si="5"/>
        <v>0</v>
      </c>
      <c r="AN324" s="28"/>
    </row>
    <row r="325" spans="1:40">
      <c r="A325" s="28">
        <v>323</v>
      </c>
      <c r="B325" s="29">
        <v>134934</v>
      </c>
      <c r="C325" s="28" t="s">
        <v>400</v>
      </c>
      <c r="D325" s="28"/>
      <c r="E325" s="28">
        <v>20250522</v>
      </c>
      <c r="F325" s="28"/>
      <c r="G325" s="29" t="s">
        <v>283</v>
      </c>
      <c r="H325" s="28" t="s">
        <v>315</v>
      </c>
      <c r="I325" s="28" t="s">
        <v>316</v>
      </c>
      <c r="J325" s="28" t="s">
        <v>54</v>
      </c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28">
        <f t="shared" si="5"/>
        <v>0</v>
      </c>
      <c r="AN325" s="28"/>
    </row>
    <row r="326" spans="1:40">
      <c r="A326" s="28">
        <v>324</v>
      </c>
      <c r="B326" s="41">
        <v>135038</v>
      </c>
      <c r="C326" s="40" t="s">
        <v>403</v>
      </c>
      <c r="D326" s="40"/>
      <c r="E326" s="40">
        <v>20250701</v>
      </c>
      <c r="F326" s="40">
        <v>20260228</v>
      </c>
      <c r="G326" s="41" t="s">
        <v>283</v>
      </c>
      <c r="H326" s="40" t="s">
        <v>315</v>
      </c>
      <c r="I326" s="40" t="s">
        <v>316</v>
      </c>
      <c r="J326" s="40" t="s">
        <v>54</v>
      </c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28">
        <f t="shared" si="5"/>
        <v>0</v>
      </c>
      <c r="AN326" s="28"/>
    </row>
    <row r="327" spans="1:40">
      <c r="A327" s="28">
        <v>325</v>
      </c>
      <c r="B327" s="29">
        <v>135507</v>
      </c>
      <c r="C327" s="28" t="s">
        <v>408</v>
      </c>
      <c r="D327" s="28"/>
      <c r="E327" s="28">
        <v>20250923</v>
      </c>
      <c r="F327" s="28"/>
      <c r="G327" s="29" t="s">
        <v>283</v>
      </c>
      <c r="H327" s="28" t="s">
        <v>315</v>
      </c>
      <c r="I327" s="28" t="s">
        <v>316</v>
      </c>
      <c r="J327" s="28" t="s">
        <v>58</v>
      </c>
      <c r="K327" s="47"/>
      <c r="L327" s="47"/>
      <c r="M327" s="47"/>
      <c r="N327" s="47"/>
      <c r="O327" s="47"/>
      <c r="P327" s="47"/>
      <c r="Q327" s="47">
        <v>5</v>
      </c>
      <c r="R327" s="47"/>
      <c r="S327" s="47"/>
      <c r="T327" s="47">
        <v>1</v>
      </c>
      <c r="U327" s="47"/>
      <c r="V327" s="47"/>
      <c r="W327" s="47"/>
      <c r="X327" s="47">
        <v>5</v>
      </c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28">
        <f t="shared" si="5"/>
        <v>11</v>
      </c>
      <c r="AN327" s="28"/>
    </row>
    <row r="328" spans="1:40">
      <c r="A328" s="28">
        <v>326</v>
      </c>
      <c r="B328" s="29">
        <v>136272</v>
      </c>
      <c r="C328" s="28" t="s">
        <v>432</v>
      </c>
      <c r="D328" s="28"/>
      <c r="E328" s="28">
        <v>20260226</v>
      </c>
      <c r="F328" s="28"/>
      <c r="G328" s="29" t="s">
        <v>283</v>
      </c>
      <c r="H328" s="28" t="s">
        <v>315</v>
      </c>
      <c r="I328" s="28" t="s">
        <v>316</v>
      </c>
      <c r="J328" s="28" t="s">
        <v>54</v>
      </c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>
        <f t="shared" si="5"/>
        <v>0</v>
      </c>
      <c r="AN328" s="28"/>
    </row>
    <row r="329" spans="1:40">
      <c r="A329" s="28">
        <v>327</v>
      </c>
      <c r="B329" s="29">
        <v>127635</v>
      </c>
      <c r="C329" s="28" t="s">
        <v>340</v>
      </c>
      <c r="D329" s="28"/>
      <c r="E329" s="28">
        <v>20220614</v>
      </c>
      <c r="F329" s="28"/>
      <c r="G329" s="29" t="s">
        <v>283</v>
      </c>
      <c r="H329" s="28" t="s">
        <v>341</v>
      </c>
      <c r="I329" s="28" t="s">
        <v>133</v>
      </c>
      <c r="J329" s="28" t="s">
        <v>54</v>
      </c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28">
        <f t="shared" si="5"/>
        <v>0</v>
      </c>
      <c r="AN329" s="28"/>
    </row>
    <row r="330" spans="1:40">
      <c r="A330" s="28">
        <v>328</v>
      </c>
      <c r="B330" s="29">
        <v>132669</v>
      </c>
      <c r="C330" s="28" t="s">
        <v>297</v>
      </c>
      <c r="D330" s="28"/>
      <c r="E330" s="28">
        <v>20241025</v>
      </c>
      <c r="F330" s="28"/>
      <c r="G330" s="29" t="s">
        <v>283</v>
      </c>
      <c r="H330" s="28" t="s">
        <v>341</v>
      </c>
      <c r="I330" s="28" t="s">
        <v>133</v>
      </c>
      <c r="J330" s="28" t="s">
        <v>54</v>
      </c>
      <c r="K330" s="47"/>
      <c r="L330" s="47">
        <v>2</v>
      </c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>
        <v>1</v>
      </c>
      <c r="AK330" s="47">
        <v>1.5</v>
      </c>
      <c r="AL330" s="47">
        <v>5</v>
      </c>
      <c r="AM330" s="28">
        <f t="shared" si="5"/>
        <v>9.5</v>
      </c>
      <c r="AN330" s="28"/>
    </row>
    <row r="331" spans="1:40">
      <c r="A331" s="28">
        <v>329</v>
      </c>
      <c r="B331" s="29">
        <v>132801</v>
      </c>
      <c r="C331" s="28" t="s">
        <v>370</v>
      </c>
      <c r="D331" s="28"/>
      <c r="E331" s="28">
        <v>20241104</v>
      </c>
      <c r="F331" s="28"/>
      <c r="G331" s="29" t="s">
        <v>283</v>
      </c>
      <c r="H331" s="28" t="s">
        <v>341</v>
      </c>
      <c r="I331" s="28" t="s">
        <v>133</v>
      </c>
      <c r="J331" s="28" t="s">
        <v>54</v>
      </c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28">
        <f t="shared" si="5"/>
        <v>0</v>
      </c>
      <c r="AN331" s="28"/>
    </row>
    <row r="332" spans="1:40">
      <c r="A332" s="28">
        <v>330</v>
      </c>
      <c r="B332" s="29">
        <v>500112</v>
      </c>
      <c r="C332" s="28" t="s">
        <v>421</v>
      </c>
      <c r="D332" s="28"/>
      <c r="E332" s="28">
        <v>20150721</v>
      </c>
      <c r="F332" s="28"/>
      <c r="G332" s="29" t="s">
        <v>283</v>
      </c>
      <c r="H332" s="28" t="s">
        <v>341</v>
      </c>
      <c r="I332" s="28" t="s">
        <v>133</v>
      </c>
      <c r="J332" s="28" t="s">
        <v>54</v>
      </c>
      <c r="K332" s="47"/>
      <c r="L332" s="47">
        <v>2</v>
      </c>
      <c r="M332" s="47">
        <v>2</v>
      </c>
      <c r="N332" s="47">
        <v>2</v>
      </c>
      <c r="O332" s="47"/>
      <c r="P332" s="47">
        <v>2</v>
      </c>
      <c r="Q332" s="47">
        <v>5</v>
      </c>
      <c r="R332" s="47"/>
      <c r="S332" s="47">
        <v>2</v>
      </c>
      <c r="T332" s="47">
        <v>2</v>
      </c>
      <c r="U332" s="47">
        <v>2</v>
      </c>
      <c r="V332" s="47"/>
      <c r="W332" s="47"/>
      <c r="X332" s="47">
        <v>3</v>
      </c>
      <c r="Y332" s="47"/>
      <c r="Z332" s="47"/>
      <c r="AA332" s="47"/>
      <c r="AB332" s="47"/>
      <c r="AC332" s="47"/>
      <c r="AD332" s="47"/>
      <c r="AE332" s="47">
        <v>2</v>
      </c>
      <c r="AF332" s="47"/>
      <c r="AG332" s="47"/>
      <c r="AH332" s="47">
        <v>1.5</v>
      </c>
      <c r="AI332" s="47"/>
      <c r="AJ332" s="47"/>
      <c r="AK332" s="47">
        <v>2</v>
      </c>
      <c r="AL332" s="47">
        <v>5</v>
      </c>
      <c r="AM332" s="28">
        <f t="shared" si="5"/>
        <v>32.5</v>
      </c>
      <c r="AN332" s="28"/>
    </row>
    <row r="333" spans="1:40">
      <c r="A333" s="28">
        <v>331</v>
      </c>
      <c r="B333" s="29">
        <v>501260</v>
      </c>
      <c r="C333" s="28" t="s">
        <v>422</v>
      </c>
      <c r="D333" s="28"/>
      <c r="E333" s="28">
        <v>20241205</v>
      </c>
      <c r="F333" s="28"/>
      <c r="G333" s="29" t="s">
        <v>283</v>
      </c>
      <c r="H333" s="28" t="s">
        <v>341</v>
      </c>
      <c r="I333" s="28" t="s">
        <v>133</v>
      </c>
      <c r="J333" s="28" t="s">
        <v>58</v>
      </c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28">
        <f t="shared" si="5"/>
        <v>0</v>
      </c>
      <c r="AN333" s="28"/>
    </row>
    <row r="334" spans="1:40">
      <c r="A334" s="28">
        <v>332</v>
      </c>
      <c r="B334" s="29">
        <v>501288</v>
      </c>
      <c r="C334" s="28" t="s">
        <v>423</v>
      </c>
      <c r="D334" s="28"/>
      <c r="E334" s="28">
        <v>20250610</v>
      </c>
      <c r="F334" s="28"/>
      <c r="G334" s="29" t="s">
        <v>283</v>
      </c>
      <c r="H334" s="28" t="s">
        <v>341</v>
      </c>
      <c r="I334" s="28" t="s">
        <v>133</v>
      </c>
      <c r="J334" s="28" t="s">
        <v>58</v>
      </c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28">
        <f t="shared" si="5"/>
        <v>0</v>
      </c>
      <c r="AN334" s="28"/>
    </row>
  </sheetData>
  <autoFilter ref="A2:AN334">
    <sortState ref="A4:AN4120">
      <sortCondition ref="H2"/>
    </sortState>
  </autoFilter>
  <mergeCells count="12">
    <mergeCell ref="AN1:AN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AM1:AM2"/>
  </mergeCells>
  <conditionalFormatting sqref="K2:AN334">
    <cfRule type="expression" dxfId="5" priority="1" stopIfTrue="1">
      <formula>TEXT(K$2,"ddd")="Sun"</formula>
    </cfRule>
    <cfRule type="expression" dxfId="4" priority="2" stopIfTrue="1">
      <formula>LEFT(K$2,3)="Hol"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N334"/>
  <sheetViews>
    <sheetView workbookViewId="0">
      <selection activeCell="I19" sqref="I19"/>
    </sheetView>
  </sheetViews>
  <sheetFormatPr defaultRowHeight="15"/>
  <cols>
    <col min="3" max="3" width="18.7109375" customWidth="1"/>
    <col min="9" max="9" width="18.7109375" customWidth="1"/>
  </cols>
  <sheetData>
    <row r="1" spans="1:40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13">
        <v>46054</v>
      </c>
      <c r="L1" s="13">
        <v>46055</v>
      </c>
      <c r="M1" s="13">
        <v>46056</v>
      </c>
      <c r="N1" s="13">
        <v>46057</v>
      </c>
      <c r="O1" s="13">
        <v>46058</v>
      </c>
      <c r="P1" s="13">
        <v>46059</v>
      </c>
      <c r="Q1" s="13">
        <v>46060</v>
      </c>
      <c r="R1" s="13">
        <v>46061</v>
      </c>
      <c r="S1" s="13">
        <v>46062</v>
      </c>
      <c r="T1" s="13">
        <v>46063</v>
      </c>
      <c r="U1" s="13">
        <v>46064</v>
      </c>
      <c r="V1" s="13">
        <v>46065</v>
      </c>
      <c r="W1" s="13">
        <v>46066</v>
      </c>
      <c r="X1" s="13">
        <v>46067</v>
      </c>
      <c r="Y1" s="13">
        <v>46068</v>
      </c>
      <c r="Z1" s="13">
        <v>46069</v>
      </c>
      <c r="AA1" s="13">
        <v>46070</v>
      </c>
      <c r="AB1" s="13">
        <v>46071</v>
      </c>
      <c r="AC1" s="13">
        <v>46072</v>
      </c>
      <c r="AD1" s="13">
        <v>46073</v>
      </c>
      <c r="AE1" s="13">
        <v>46074</v>
      </c>
      <c r="AF1" s="13">
        <v>46075</v>
      </c>
      <c r="AG1" s="13">
        <v>46076</v>
      </c>
      <c r="AH1" s="13">
        <v>46077</v>
      </c>
      <c r="AI1" s="13">
        <v>46078</v>
      </c>
      <c r="AJ1" s="13">
        <v>46079</v>
      </c>
      <c r="AK1" s="13">
        <v>46080</v>
      </c>
      <c r="AL1" s="13">
        <v>46081</v>
      </c>
      <c r="AM1" s="48" t="s">
        <v>25</v>
      </c>
      <c r="AN1" s="48" t="s">
        <v>26</v>
      </c>
    </row>
    <row r="2" spans="1:40">
      <c r="A2" s="49"/>
      <c r="B2" s="49"/>
      <c r="C2" s="49"/>
      <c r="D2" s="49"/>
      <c r="E2" s="49"/>
      <c r="F2" s="49"/>
      <c r="G2" s="49"/>
      <c r="H2" s="49"/>
      <c r="I2" s="49"/>
      <c r="J2" s="49"/>
      <c r="K2" s="27" t="s">
        <v>39</v>
      </c>
      <c r="L2" s="27" t="s">
        <v>40</v>
      </c>
      <c r="M2" s="27" t="s">
        <v>41</v>
      </c>
      <c r="N2" s="27" t="s">
        <v>42</v>
      </c>
      <c r="O2" s="27" t="s">
        <v>43</v>
      </c>
      <c r="P2" s="27" t="s">
        <v>44</v>
      </c>
      <c r="Q2" s="27" t="s">
        <v>45</v>
      </c>
      <c r="R2" s="27" t="s">
        <v>39</v>
      </c>
      <c r="S2" s="27" t="s">
        <v>40</v>
      </c>
      <c r="T2" s="27" t="s">
        <v>41</v>
      </c>
      <c r="U2" s="27" t="s">
        <v>42</v>
      </c>
      <c r="V2" s="27" t="s">
        <v>46</v>
      </c>
      <c r="W2" s="27" t="s">
        <v>47</v>
      </c>
      <c r="X2" s="27" t="s">
        <v>45</v>
      </c>
      <c r="Y2" s="27" t="s">
        <v>39</v>
      </c>
      <c r="Z2" s="27" t="s">
        <v>48</v>
      </c>
      <c r="AA2" s="27" t="s">
        <v>49</v>
      </c>
      <c r="AB2" s="27" t="s">
        <v>42</v>
      </c>
      <c r="AC2" s="27" t="s">
        <v>43</v>
      </c>
      <c r="AD2" s="27" t="s">
        <v>44</v>
      </c>
      <c r="AE2" s="27" t="s">
        <v>45</v>
      </c>
      <c r="AF2" s="27" t="s">
        <v>39</v>
      </c>
      <c r="AG2" s="27" t="s">
        <v>40</v>
      </c>
      <c r="AH2" s="27" t="s">
        <v>41</v>
      </c>
      <c r="AI2" s="27" t="s">
        <v>42</v>
      </c>
      <c r="AJ2" s="27" t="s">
        <v>43</v>
      </c>
      <c r="AK2" s="27" t="s">
        <v>44</v>
      </c>
      <c r="AL2" s="27" t="s">
        <v>45</v>
      </c>
      <c r="AM2" s="48"/>
      <c r="AN2" s="48"/>
    </row>
    <row r="3" spans="1:40">
      <c r="A3" s="28">
        <v>1</v>
      </c>
      <c r="B3" s="29">
        <v>500016</v>
      </c>
      <c r="C3" s="28" t="s">
        <v>67</v>
      </c>
      <c r="D3" s="28"/>
      <c r="E3" s="28">
        <v>20141104</v>
      </c>
      <c r="F3" s="28"/>
      <c r="G3" s="29" t="s">
        <v>51</v>
      </c>
      <c r="H3" s="30" t="s">
        <v>68</v>
      </c>
      <c r="I3" s="28" t="s">
        <v>69</v>
      </c>
      <c r="J3" s="28" t="s">
        <v>54</v>
      </c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>
        <v>1</v>
      </c>
      <c r="AH3" s="47"/>
      <c r="AI3" s="47"/>
      <c r="AJ3" s="47"/>
      <c r="AK3" s="47"/>
      <c r="AL3" s="47"/>
      <c r="AM3" s="28">
        <f t="shared" ref="AM3:AM66" si="0">SUM(K3:AL3)</f>
        <v>1</v>
      </c>
      <c r="AN3" s="28"/>
    </row>
    <row r="4" spans="1:40">
      <c r="A4" s="28">
        <v>2</v>
      </c>
      <c r="B4" s="29">
        <v>500200</v>
      </c>
      <c r="C4" s="28" t="s">
        <v>97</v>
      </c>
      <c r="D4" s="28"/>
      <c r="E4" s="28">
        <v>20151112</v>
      </c>
      <c r="F4" s="28"/>
      <c r="G4" s="29" t="s">
        <v>51</v>
      </c>
      <c r="H4" s="30" t="s">
        <v>68</v>
      </c>
      <c r="I4" s="28" t="s">
        <v>69</v>
      </c>
      <c r="J4" s="28" t="s">
        <v>54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28">
        <f t="shared" si="0"/>
        <v>0</v>
      </c>
      <c r="AN4" s="28"/>
    </row>
    <row r="5" spans="1:40">
      <c r="A5" s="28">
        <v>3</v>
      </c>
      <c r="B5" s="29">
        <v>501200</v>
      </c>
      <c r="C5" s="28" t="s">
        <v>209</v>
      </c>
      <c r="D5" s="28"/>
      <c r="E5" s="28">
        <v>20230822</v>
      </c>
      <c r="F5" s="28"/>
      <c r="G5" s="29" t="s">
        <v>51</v>
      </c>
      <c r="H5" s="30" t="s">
        <v>68</v>
      </c>
      <c r="I5" s="28" t="s">
        <v>69</v>
      </c>
      <c r="J5" s="28" t="s">
        <v>54</v>
      </c>
      <c r="K5" s="47"/>
      <c r="L5" s="47"/>
      <c r="M5" s="47"/>
      <c r="N5" s="47"/>
      <c r="O5" s="47"/>
      <c r="P5" s="47"/>
      <c r="Q5" s="47"/>
      <c r="R5" s="47"/>
      <c r="S5" s="47">
        <v>1</v>
      </c>
      <c r="T5" s="47"/>
      <c r="U5" s="47"/>
      <c r="V5" s="47"/>
      <c r="W5" s="47"/>
      <c r="X5" s="47"/>
      <c r="Y5" s="47"/>
      <c r="Z5" s="47"/>
      <c r="AA5" s="47"/>
      <c r="AB5" s="47">
        <v>1</v>
      </c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28">
        <f t="shared" si="0"/>
        <v>2</v>
      </c>
      <c r="AN5" s="28"/>
    </row>
    <row r="6" spans="1:40">
      <c r="A6" s="28">
        <v>4</v>
      </c>
      <c r="B6" s="29">
        <v>501203</v>
      </c>
      <c r="C6" s="28" t="s">
        <v>211</v>
      </c>
      <c r="D6" s="28"/>
      <c r="E6" s="28">
        <v>20231114</v>
      </c>
      <c r="F6" s="28"/>
      <c r="G6" s="29" t="s">
        <v>51</v>
      </c>
      <c r="H6" s="30" t="s">
        <v>68</v>
      </c>
      <c r="I6" s="28" t="s">
        <v>69</v>
      </c>
      <c r="J6" s="28" t="s">
        <v>54</v>
      </c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28">
        <f t="shared" si="0"/>
        <v>0</v>
      </c>
      <c r="AN6" s="28"/>
    </row>
    <row r="7" spans="1:40">
      <c r="A7" s="28">
        <v>5</v>
      </c>
      <c r="B7" s="29">
        <v>501257</v>
      </c>
      <c r="C7" s="28" t="s">
        <v>237</v>
      </c>
      <c r="D7" s="28"/>
      <c r="E7" s="28">
        <v>20241121</v>
      </c>
      <c r="F7" s="28"/>
      <c r="G7" s="29" t="s">
        <v>51</v>
      </c>
      <c r="H7" s="30" t="s">
        <v>68</v>
      </c>
      <c r="I7" s="28" t="s">
        <v>69</v>
      </c>
      <c r="J7" s="28" t="s">
        <v>54</v>
      </c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28">
        <f t="shared" si="0"/>
        <v>0</v>
      </c>
      <c r="AN7" s="28"/>
    </row>
    <row r="8" spans="1:40">
      <c r="A8" s="28">
        <v>6</v>
      </c>
      <c r="B8" s="41">
        <v>501277</v>
      </c>
      <c r="C8" s="40" t="s">
        <v>250</v>
      </c>
      <c r="D8" s="40"/>
      <c r="E8" s="40">
        <v>20250502</v>
      </c>
      <c r="F8" s="40">
        <v>20260214</v>
      </c>
      <c r="G8" s="41" t="s">
        <v>51</v>
      </c>
      <c r="H8" s="42" t="s">
        <v>68</v>
      </c>
      <c r="I8" s="40" t="s">
        <v>69</v>
      </c>
      <c r="J8" s="40" t="s">
        <v>54</v>
      </c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28">
        <f t="shared" si="0"/>
        <v>0</v>
      </c>
      <c r="AN8" s="28"/>
    </row>
    <row r="9" spans="1:40">
      <c r="A9" s="28">
        <v>7</v>
      </c>
      <c r="B9" s="29">
        <v>501312</v>
      </c>
      <c r="C9" s="28" t="s">
        <v>274</v>
      </c>
      <c r="D9" s="28"/>
      <c r="E9" s="28">
        <v>20251117</v>
      </c>
      <c r="F9" s="28"/>
      <c r="G9" s="29" t="s">
        <v>51</v>
      </c>
      <c r="H9" s="30" t="s">
        <v>68</v>
      </c>
      <c r="I9" s="28" t="s">
        <v>69</v>
      </c>
      <c r="J9" s="28" t="s">
        <v>54</v>
      </c>
      <c r="K9" s="47"/>
      <c r="L9" s="47"/>
      <c r="M9" s="47"/>
      <c r="N9" s="47"/>
      <c r="O9" s="47"/>
      <c r="P9" s="47"/>
      <c r="Q9" s="47">
        <v>1</v>
      </c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>
        <v>1</v>
      </c>
      <c r="AM9" s="28">
        <f t="shared" si="0"/>
        <v>2</v>
      </c>
      <c r="AN9" s="28"/>
    </row>
    <row r="10" spans="1:40">
      <c r="A10" s="28">
        <v>8</v>
      </c>
      <c r="B10" s="29">
        <v>500196</v>
      </c>
      <c r="C10" s="28" t="s">
        <v>94</v>
      </c>
      <c r="D10" s="28"/>
      <c r="E10" s="28">
        <v>20151112</v>
      </c>
      <c r="F10" s="28"/>
      <c r="G10" s="29" t="s">
        <v>51</v>
      </c>
      <c r="H10" s="30" t="s">
        <v>95</v>
      </c>
      <c r="I10" s="28" t="s">
        <v>96</v>
      </c>
      <c r="J10" s="28" t="s">
        <v>58</v>
      </c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28">
        <f t="shared" si="0"/>
        <v>0</v>
      </c>
      <c r="AN10" s="28"/>
    </row>
    <row r="11" spans="1:40">
      <c r="A11" s="28">
        <v>9</v>
      </c>
      <c r="B11" s="29">
        <v>500766</v>
      </c>
      <c r="C11" s="28" t="s">
        <v>165</v>
      </c>
      <c r="D11" s="28"/>
      <c r="E11" s="28">
        <v>20180619</v>
      </c>
      <c r="F11" s="28"/>
      <c r="G11" s="29" t="s">
        <v>51</v>
      </c>
      <c r="H11" s="30" t="s">
        <v>95</v>
      </c>
      <c r="I11" s="28" t="s">
        <v>96</v>
      </c>
      <c r="J11" s="28" t="s">
        <v>58</v>
      </c>
      <c r="K11" s="47"/>
      <c r="L11" s="47"/>
      <c r="M11" s="47"/>
      <c r="N11" s="47"/>
      <c r="O11" s="47"/>
      <c r="P11" s="47"/>
      <c r="Q11" s="47">
        <v>1</v>
      </c>
      <c r="R11" s="47"/>
      <c r="S11" s="47">
        <v>1</v>
      </c>
      <c r="T11" s="47"/>
      <c r="U11" s="47">
        <v>1</v>
      </c>
      <c r="V11" s="47"/>
      <c r="W11" s="47"/>
      <c r="X11" s="47"/>
      <c r="Y11" s="47"/>
      <c r="Z11" s="47"/>
      <c r="AA11" s="47"/>
      <c r="AB11" s="47"/>
      <c r="AC11" s="47"/>
      <c r="AD11" s="47"/>
      <c r="AE11" s="47">
        <v>1</v>
      </c>
      <c r="AF11" s="47"/>
      <c r="AG11" s="47">
        <v>1</v>
      </c>
      <c r="AH11" s="47"/>
      <c r="AI11" s="47"/>
      <c r="AJ11" s="47"/>
      <c r="AK11" s="47">
        <v>1</v>
      </c>
      <c r="AL11" s="47"/>
      <c r="AM11" s="28">
        <f t="shared" si="0"/>
        <v>6</v>
      </c>
      <c r="AN11" s="28"/>
    </row>
    <row r="12" spans="1:40">
      <c r="A12" s="28">
        <v>10</v>
      </c>
      <c r="B12" s="29">
        <v>500841</v>
      </c>
      <c r="C12" s="28" t="s">
        <v>177</v>
      </c>
      <c r="D12" s="28"/>
      <c r="E12" s="28">
        <v>20190205</v>
      </c>
      <c r="F12" s="28"/>
      <c r="G12" s="29" t="s">
        <v>51</v>
      </c>
      <c r="H12" s="30" t="s">
        <v>95</v>
      </c>
      <c r="I12" s="28" t="s">
        <v>96</v>
      </c>
      <c r="J12" s="28" t="s">
        <v>58</v>
      </c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>
        <v>1</v>
      </c>
      <c r="AF12" s="47"/>
      <c r="AG12" s="47"/>
      <c r="AH12" s="47"/>
      <c r="AI12" s="47"/>
      <c r="AJ12" s="47"/>
      <c r="AK12" s="47"/>
      <c r="AL12" s="47">
        <v>1</v>
      </c>
      <c r="AM12" s="28">
        <f t="shared" si="0"/>
        <v>2</v>
      </c>
      <c r="AN12" s="28"/>
    </row>
    <row r="13" spans="1:40">
      <c r="A13" s="28">
        <v>11</v>
      </c>
      <c r="B13" s="29">
        <v>500925</v>
      </c>
      <c r="C13" s="28" t="s">
        <v>181</v>
      </c>
      <c r="D13" s="28"/>
      <c r="E13" s="28">
        <v>20191024</v>
      </c>
      <c r="F13" s="28"/>
      <c r="G13" s="29" t="s">
        <v>51</v>
      </c>
      <c r="H13" s="30" t="s">
        <v>95</v>
      </c>
      <c r="I13" s="28" t="s">
        <v>96</v>
      </c>
      <c r="J13" s="28" t="s">
        <v>58</v>
      </c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28">
        <f t="shared" si="0"/>
        <v>0</v>
      </c>
      <c r="AN13" s="28"/>
    </row>
    <row r="14" spans="1:40">
      <c r="A14" s="28">
        <v>12</v>
      </c>
      <c r="B14" s="29">
        <v>500979</v>
      </c>
      <c r="C14" s="28" t="s">
        <v>190</v>
      </c>
      <c r="D14" s="28"/>
      <c r="E14" s="28">
        <v>20200310</v>
      </c>
      <c r="F14" s="28"/>
      <c r="G14" s="29" t="s">
        <v>51</v>
      </c>
      <c r="H14" s="30" t="s">
        <v>95</v>
      </c>
      <c r="I14" s="28" t="s">
        <v>96</v>
      </c>
      <c r="J14" s="28" t="s">
        <v>58</v>
      </c>
      <c r="K14" s="47"/>
      <c r="L14" s="47"/>
      <c r="M14" s="47">
        <v>1</v>
      </c>
      <c r="N14" s="47">
        <v>1</v>
      </c>
      <c r="O14" s="47">
        <v>1</v>
      </c>
      <c r="P14" s="47">
        <v>1</v>
      </c>
      <c r="Q14" s="47">
        <v>1</v>
      </c>
      <c r="R14" s="47"/>
      <c r="S14" s="47"/>
      <c r="T14" s="47">
        <v>1</v>
      </c>
      <c r="U14" s="47">
        <v>1</v>
      </c>
      <c r="V14" s="47"/>
      <c r="W14" s="47"/>
      <c r="X14" s="47"/>
      <c r="Y14" s="47"/>
      <c r="Z14" s="47"/>
      <c r="AA14" s="47"/>
      <c r="AB14" s="47">
        <v>1</v>
      </c>
      <c r="AC14" s="47">
        <v>1</v>
      </c>
      <c r="AD14" s="47"/>
      <c r="AE14" s="47">
        <v>1</v>
      </c>
      <c r="AF14" s="47"/>
      <c r="AG14" s="47">
        <v>1</v>
      </c>
      <c r="AH14" s="47"/>
      <c r="AI14" s="47">
        <v>1</v>
      </c>
      <c r="AJ14" s="47">
        <v>1</v>
      </c>
      <c r="AK14" s="47"/>
      <c r="AL14" s="47">
        <v>1</v>
      </c>
      <c r="AM14" s="28">
        <f t="shared" si="0"/>
        <v>14</v>
      </c>
      <c r="AN14" s="28"/>
    </row>
    <row r="15" spans="1:40">
      <c r="A15" s="28">
        <v>13</v>
      </c>
      <c r="B15" s="29">
        <v>501212</v>
      </c>
      <c r="C15" s="28" t="s">
        <v>214</v>
      </c>
      <c r="D15" s="28"/>
      <c r="E15" s="28">
        <v>20240305</v>
      </c>
      <c r="F15" s="28"/>
      <c r="G15" s="29" t="s">
        <v>51</v>
      </c>
      <c r="H15" s="30" t="s">
        <v>95</v>
      </c>
      <c r="I15" s="28" t="s">
        <v>96</v>
      </c>
      <c r="J15" s="28" t="s">
        <v>58</v>
      </c>
      <c r="K15" s="47"/>
      <c r="L15" s="47"/>
      <c r="M15" s="47"/>
      <c r="N15" s="47">
        <v>1</v>
      </c>
      <c r="O15" s="47">
        <v>1</v>
      </c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>
        <v>1</v>
      </c>
      <c r="AH15" s="47"/>
      <c r="AI15" s="47"/>
      <c r="AJ15" s="47"/>
      <c r="AK15" s="47"/>
      <c r="AL15" s="47">
        <v>1</v>
      </c>
      <c r="AM15" s="28">
        <f t="shared" si="0"/>
        <v>4</v>
      </c>
      <c r="AN15" s="28"/>
    </row>
    <row r="16" spans="1:40">
      <c r="A16" s="28">
        <v>14</v>
      </c>
      <c r="B16" s="29">
        <v>501246</v>
      </c>
      <c r="C16" s="28" t="s">
        <v>228</v>
      </c>
      <c r="D16" s="28"/>
      <c r="E16" s="28">
        <v>20240913</v>
      </c>
      <c r="F16" s="28"/>
      <c r="G16" s="29" t="s">
        <v>51</v>
      </c>
      <c r="H16" s="30" t="s">
        <v>95</v>
      </c>
      <c r="I16" s="28" t="s">
        <v>96</v>
      </c>
      <c r="J16" s="28" t="s">
        <v>58</v>
      </c>
      <c r="K16" s="47"/>
      <c r="L16" s="47">
        <v>1</v>
      </c>
      <c r="M16" s="47"/>
      <c r="N16" s="47"/>
      <c r="O16" s="47"/>
      <c r="P16" s="47">
        <v>1</v>
      </c>
      <c r="Q16" s="47"/>
      <c r="R16" s="47"/>
      <c r="S16" s="47">
        <v>1</v>
      </c>
      <c r="T16" s="47"/>
      <c r="U16" s="47"/>
      <c r="V16" s="47"/>
      <c r="W16" s="47"/>
      <c r="X16" s="47">
        <v>1</v>
      </c>
      <c r="Y16" s="47"/>
      <c r="Z16" s="47"/>
      <c r="AA16" s="47"/>
      <c r="AB16" s="47"/>
      <c r="AC16" s="47">
        <v>1</v>
      </c>
      <c r="AD16" s="47"/>
      <c r="AE16" s="47"/>
      <c r="AF16" s="47"/>
      <c r="AG16" s="47"/>
      <c r="AH16" s="47">
        <v>1</v>
      </c>
      <c r="AI16" s="47">
        <v>1</v>
      </c>
      <c r="AJ16" s="47">
        <v>1</v>
      </c>
      <c r="AK16" s="47"/>
      <c r="AL16" s="47"/>
      <c r="AM16" s="28">
        <f t="shared" si="0"/>
        <v>8</v>
      </c>
      <c r="AN16" s="28"/>
    </row>
    <row r="17" spans="1:40">
      <c r="A17" s="28">
        <v>15</v>
      </c>
      <c r="B17" s="29">
        <v>501261</v>
      </c>
      <c r="C17" s="28" t="s">
        <v>87</v>
      </c>
      <c r="D17" s="28"/>
      <c r="E17" s="28">
        <v>20241212</v>
      </c>
      <c r="F17" s="28"/>
      <c r="G17" s="29" t="s">
        <v>51</v>
      </c>
      <c r="H17" s="30" t="s">
        <v>95</v>
      </c>
      <c r="I17" s="28" t="s">
        <v>96</v>
      </c>
      <c r="J17" s="28" t="s">
        <v>58</v>
      </c>
      <c r="K17" s="47"/>
      <c r="L17" s="47"/>
      <c r="M17" s="47"/>
      <c r="N17" s="47"/>
      <c r="O17" s="47"/>
      <c r="P17" s="47">
        <v>1</v>
      </c>
      <c r="Q17" s="47">
        <v>1</v>
      </c>
      <c r="R17" s="47"/>
      <c r="S17" s="47"/>
      <c r="T17" s="47"/>
      <c r="U17" s="47">
        <v>1</v>
      </c>
      <c r="V17" s="47"/>
      <c r="W17" s="47"/>
      <c r="X17" s="47"/>
      <c r="Y17" s="47"/>
      <c r="Z17" s="47"/>
      <c r="AA17" s="47"/>
      <c r="AB17" s="47"/>
      <c r="AC17" s="47"/>
      <c r="AD17" s="47">
        <v>1</v>
      </c>
      <c r="AE17" s="47">
        <v>1</v>
      </c>
      <c r="AF17" s="47"/>
      <c r="AG17" s="47"/>
      <c r="AH17" s="47">
        <v>1</v>
      </c>
      <c r="AI17" s="47">
        <v>1</v>
      </c>
      <c r="AJ17" s="47"/>
      <c r="AK17" s="47"/>
      <c r="AL17" s="47">
        <v>1</v>
      </c>
      <c r="AM17" s="28">
        <f t="shared" si="0"/>
        <v>8</v>
      </c>
      <c r="AN17" s="28"/>
    </row>
    <row r="18" spans="1:40">
      <c r="A18" s="28">
        <v>16</v>
      </c>
      <c r="B18" s="29">
        <v>500511</v>
      </c>
      <c r="C18" s="28" t="s">
        <v>144</v>
      </c>
      <c r="D18" s="28"/>
      <c r="E18" s="28">
        <v>20170314</v>
      </c>
      <c r="F18" s="28"/>
      <c r="G18" s="29" t="s">
        <v>51</v>
      </c>
      <c r="H18" s="30" t="s">
        <v>145</v>
      </c>
      <c r="I18" s="28" t="s">
        <v>146</v>
      </c>
      <c r="J18" s="28" t="s">
        <v>54</v>
      </c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>
        <v>1</v>
      </c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28">
        <f t="shared" si="0"/>
        <v>1</v>
      </c>
      <c r="AN18" s="28"/>
    </row>
    <row r="19" spans="1:40">
      <c r="A19" s="28">
        <v>17</v>
      </c>
      <c r="B19" s="29">
        <v>500512</v>
      </c>
      <c r="C19" s="28" t="s">
        <v>147</v>
      </c>
      <c r="D19" s="28"/>
      <c r="E19" s="28">
        <v>20170321</v>
      </c>
      <c r="F19" s="28"/>
      <c r="G19" s="29" t="s">
        <v>51</v>
      </c>
      <c r="H19" s="30" t="s">
        <v>145</v>
      </c>
      <c r="I19" s="28" t="s">
        <v>146</v>
      </c>
      <c r="J19" s="28" t="s">
        <v>54</v>
      </c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28">
        <f t="shared" si="0"/>
        <v>0</v>
      </c>
      <c r="AN19" s="28"/>
    </row>
    <row r="20" spans="1:40">
      <c r="A20" s="28">
        <v>18</v>
      </c>
      <c r="B20" s="29">
        <v>500827</v>
      </c>
      <c r="C20" s="28" t="s">
        <v>174</v>
      </c>
      <c r="D20" s="28"/>
      <c r="E20" s="28">
        <v>20181220</v>
      </c>
      <c r="F20" s="28"/>
      <c r="G20" s="29" t="s">
        <v>51</v>
      </c>
      <c r="H20" s="30" t="s">
        <v>145</v>
      </c>
      <c r="I20" s="28" t="s">
        <v>146</v>
      </c>
      <c r="J20" s="28" t="s">
        <v>54</v>
      </c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28">
        <f t="shared" si="0"/>
        <v>0</v>
      </c>
      <c r="AN20" s="28"/>
    </row>
    <row r="21" spans="1:40">
      <c r="A21" s="28">
        <v>19</v>
      </c>
      <c r="B21" s="29">
        <v>501201</v>
      </c>
      <c r="C21" s="28" t="s">
        <v>210</v>
      </c>
      <c r="D21" s="28"/>
      <c r="E21" s="28">
        <v>20230914</v>
      </c>
      <c r="F21" s="28"/>
      <c r="G21" s="29" t="s">
        <v>51</v>
      </c>
      <c r="H21" s="30" t="s">
        <v>145</v>
      </c>
      <c r="I21" s="28" t="s">
        <v>146</v>
      </c>
      <c r="J21" s="28" t="s">
        <v>54</v>
      </c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28">
        <f t="shared" si="0"/>
        <v>0</v>
      </c>
      <c r="AN21" s="28"/>
    </row>
    <row r="22" spans="1:40">
      <c r="A22" s="28">
        <v>20</v>
      </c>
      <c r="B22" s="29">
        <v>501208</v>
      </c>
      <c r="C22" s="28" t="s">
        <v>213</v>
      </c>
      <c r="D22" s="28"/>
      <c r="E22" s="28">
        <v>20240215</v>
      </c>
      <c r="F22" s="28"/>
      <c r="G22" s="29" t="s">
        <v>51</v>
      </c>
      <c r="H22" s="30" t="s">
        <v>145</v>
      </c>
      <c r="I22" s="28" t="s">
        <v>146</v>
      </c>
      <c r="J22" s="28" t="s">
        <v>54</v>
      </c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28">
        <f t="shared" si="0"/>
        <v>0</v>
      </c>
      <c r="AN22" s="28"/>
    </row>
    <row r="23" spans="1:40">
      <c r="A23" s="28">
        <v>21</v>
      </c>
      <c r="B23" s="29">
        <v>501248</v>
      </c>
      <c r="C23" s="28" t="s">
        <v>230</v>
      </c>
      <c r="D23" s="28"/>
      <c r="E23" s="28">
        <v>20240920</v>
      </c>
      <c r="F23" s="28"/>
      <c r="G23" s="29" t="s">
        <v>51</v>
      </c>
      <c r="H23" s="30" t="s">
        <v>145</v>
      </c>
      <c r="I23" s="28" t="s">
        <v>146</v>
      </c>
      <c r="J23" s="28" t="s">
        <v>54</v>
      </c>
      <c r="K23" s="47"/>
      <c r="L23" s="47"/>
      <c r="M23" s="47">
        <v>1</v>
      </c>
      <c r="N23" s="47">
        <v>1</v>
      </c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28">
        <f t="shared" si="0"/>
        <v>2</v>
      </c>
      <c r="AN23" s="28"/>
    </row>
    <row r="24" spans="1:40">
      <c r="A24" s="28">
        <v>22</v>
      </c>
      <c r="B24" s="29">
        <v>501254</v>
      </c>
      <c r="C24" s="28" t="s">
        <v>235</v>
      </c>
      <c r="D24" s="28"/>
      <c r="E24" s="28">
        <v>20241023</v>
      </c>
      <c r="F24" s="28"/>
      <c r="G24" s="29" t="s">
        <v>51</v>
      </c>
      <c r="H24" s="30" t="s">
        <v>145</v>
      </c>
      <c r="I24" s="28" t="s">
        <v>146</v>
      </c>
      <c r="J24" s="28" t="s">
        <v>54</v>
      </c>
      <c r="K24" s="47"/>
      <c r="L24" s="47"/>
      <c r="M24" s="47"/>
      <c r="N24" s="47"/>
      <c r="O24" s="47">
        <v>1</v>
      </c>
      <c r="P24" s="47">
        <v>1</v>
      </c>
      <c r="Q24" s="47">
        <v>1</v>
      </c>
      <c r="R24" s="47"/>
      <c r="S24" s="47"/>
      <c r="T24" s="47"/>
      <c r="U24" s="47">
        <v>1</v>
      </c>
      <c r="V24" s="47"/>
      <c r="W24" s="47"/>
      <c r="X24" s="47">
        <v>1</v>
      </c>
      <c r="Y24" s="47"/>
      <c r="Z24" s="47"/>
      <c r="AA24" s="47"/>
      <c r="AB24" s="47"/>
      <c r="AC24" s="47"/>
      <c r="AD24" s="47">
        <v>1</v>
      </c>
      <c r="AE24" s="47">
        <v>1</v>
      </c>
      <c r="AF24" s="47"/>
      <c r="AG24" s="47"/>
      <c r="AH24" s="47">
        <v>1</v>
      </c>
      <c r="AI24" s="47"/>
      <c r="AJ24" s="47">
        <v>1</v>
      </c>
      <c r="AK24" s="47">
        <v>1</v>
      </c>
      <c r="AL24" s="47"/>
      <c r="AM24" s="28">
        <f t="shared" si="0"/>
        <v>10</v>
      </c>
      <c r="AN24" s="28"/>
    </row>
    <row r="25" spans="1:40">
      <c r="A25" s="28">
        <v>23</v>
      </c>
      <c r="B25" s="29">
        <v>501264</v>
      </c>
      <c r="C25" s="28" t="s">
        <v>241</v>
      </c>
      <c r="D25" s="28"/>
      <c r="E25" s="28">
        <v>20250108</v>
      </c>
      <c r="F25" s="28"/>
      <c r="G25" s="29" t="s">
        <v>51</v>
      </c>
      <c r="H25" s="30" t="s">
        <v>145</v>
      </c>
      <c r="I25" s="28" t="s">
        <v>146</v>
      </c>
      <c r="J25" s="28" t="s">
        <v>54</v>
      </c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>
        <v>1</v>
      </c>
      <c r="AH25" s="47"/>
      <c r="AI25" s="47"/>
      <c r="AJ25" s="47"/>
      <c r="AK25" s="47"/>
      <c r="AL25" s="47"/>
      <c r="AM25" s="28">
        <f t="shared" si="0"/>
        <v>1</v>
      </c>
      <c r="AN25" s="28"/>
    </row>
    <row r="26" spans="1:40">
      <c r="A26" s="28">
        <v>24</v>
      </c>
      <c r="B26" s="29">
        <v>501282</v>
      </c>
      <c r="C26" s="28" t="s">
        <v>254</v>
      </c>
      <c r="D26" s="28"/>
      <c r="E26" s="28">
        <v>20250515</v>
      </c>
      <c r="F26" s="28"/>
      <c r="G26" s="29" t="s">
        <v>51</v>
      </c>
      <c r="H26" s="30" t="s">
        <v>145</v>
      </c>
      <c r="I26" s="28" t="s">
        <v>146</v>
      </c>
      <c r="J26" s="28" t="s">
        <v>54</v>
      </c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28">
        <f t="shared" si="0"/>
        <v>0</v>
      </c>
      <c r="AN26" s="28"/>
    </row>
    <row r="27" spans="1:40">
      <c r="A27" s="28">
        <v>25</v>
      </c>
      <c r="B27" s="29">
        <v>501297</v>
      </c>
      <c r="C27" s="28" t="s">
        <v>260</v>
      </c>
      <c r="D27" s="28"/>
      <c r="E27" s="28">
        <v>20250904</v>
      </c>
      <c r="F27" s="28"/>
      <c r="G27" s="29" t="s">
        <v>51</v>
      </c>
      <c r="H27" s="30" t="s">
        <v>145</v>
      </c>
      <c r="I27" s="28" t="s">
        <v>146</v>
      </c>
      <c r="J27" s="28" t="s">
        <v>54</v>
      </c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>
        <v>1</v>
      </c>
      <c r="AD27" s="47">
        <v>1</v>
      </c>
      <c r="AE27" s="47"/>
      <c r="AF27" s="47"/>
      <c r="AG27" s="47"/>
      <c r="AH27" s="47"/>
      <c r="AI27" s="47"/>
      <c r="AJ27" s="47"/>
      <c r="AK27" s="47"/>
      <c r="AL27" s="47"/>
      <c r="AM27" s="28">
        <f t="shared" si="0"/>
        <v>2</v>
      </c>
      <c r="AN27" s="28"/>
    </row>
    <row r="28" spans="1:40">
      <c r="A28" s="28">
        <v>26</v>
      </c>
      <c r="B28" s="29">
        <v>501304</v>
      </c>
      <c r="C28" s="28" t="s">
        <v>266</v>
      </c>
      <c r="D28" s="28"/>
      <c r="E28" s="28">
        <v>20251106</v>
      </c>
      <c r="F28" s="28"/>
      <c r="G28" s="29" t="s">
        <v>51</v>
      </c>
      <c r="H28" s="30" t="s">
        <v>145</v>
      </c>
      <c r="I28" s="28" t="s">
        <v>146</v>
      </c>
      <c r="J28" s="28" t="s">
        <v>54</v>
      </c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28">
        <f t="shared" si="0"/>
        <v>0</v>
      </c>
      <c r="AN28" s="28"/>
    </row>
    <row r="29" spans="1:40">
      <c r="A29" s="28">
        <v>27</v>
      </c>
      <c r="B29" s="29">
        <v>501263</v>
      </c>
      <c r="C29" s="28" t="s">
        <v>238</v>
      </c>
      <c r="D29" s="28"/>
      <c r="E29" s="28">
        <v>20250108</v>
      </c>
      <c r="F29" s="28"/>
      <c r="G29" s="29" t="s">
        <v>51</v>
      </c>
      <c r="H29" s="30" t="s">
        <v>239</v>
      </c>
      <c r="I29" s="28" t="s">
        <v>240</v>
      </c>
      <c r="J29" s="28" t="s">
        <v>58</v>
      </c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28">
        <f t="shared" si="0"/>
        <v>0</v>
      </c>
      <c r="AN29" s="28"/>
    </row>
    <row r="30" spans="1:40">
      <c r="A30" s="28">
        <v>28</v>
      </c>
      <c r="B30" s="29">
        <v>111670</v>
      </c>
      <c r="C30" s="28" t="s">
        <v>55</v>
      </c>
      <c r="D30" s="28"/>
      <c r="E30" s="28">
        <v>20180522</v>
      </c>
      <c r="F30" s="28"/>
      <c r="G30" s="29" t="s">
        <v>51</v>
      </c>
      <c r="H30" s="30" t="s">
        <v>56</v>
      </c>
      <c r="I30" s="28" t="s">
        <v>57</v>
      </c>
      <c r="J30" s="28" t="s">
        <v>58</v>
      </c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>
        <v>1</v>
      </c>
      <c r="AC30" s="47"/>
      <c r="AD30" s="47"/>
      <c r="AE30" s="47"/>
      <c r="AF30" s="47"/>
      <c r="AG30" s="47"/>
      <c r="AH30" s="47"/>
      <c r="AI30" s="47">
        <v>1</v>
      </c>
      <c r="AJ30" s="47"/>
      <c r="AK30" s="47"/>
      <c r="AL30" s="47"/>
      <c r="AM30" s="28">
        <f t="shared" si="0"/>
        <v>2</v>
      </c>
      <c r="AN30" s="28"/>
    </row>
    <row r="31" spans="1:40">
      <c r="A31" s="28">
        <v>29</v>
      </c>
      <c r="B31" s="29">
        <v>128663</v>
      </c>
      <c r="C31" s="28" t="s">
        <v>59</v>
      </c>
      <c r="D31" s="28"/>
      <c r="E31" s="28">
        <v>20220823</v>
      </c>
      <c r="F31" s="28"/>
      <c r="G31" s="29" t="s">
        <v>51</v>
      </c>
      <c r="H31" s="30" t="s">
        <v>56</v>
      </c>
      <c r="I31" s="28" t="s">
        <v>57</v>
      </c>
      <c r="J31" s="28" t="s">
        <v>58</v>
      </c>
      <c r="K31" s="47"/>
      <c r="L31" s="47">
        <v>1</v>
      </c>
      <c r="M31" s="47"/>
      <c r="N31" s="47">
        <v>1</v>
      </c>
      <c r="O31" s="47">
        <v>1</v>
      </c>
      <c r="P31" s="47">
        <v>1</v>
      </c>
      <c r="Q31" s="47">
        <v>1</v>
      </c>
      <c r="R31" s="47"/>
      <c r="S31" s="47">
        <v>1</v>
      </c>
      <c r="T31" s="47"/>
      <c r="U31" s="47">
        <v>1</v>
      </c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>
        <v>1</v>
      </c>
      <c r="AI31" s="47"/>
      <c r="AJ31" s="47">
        <v>1</v>
      </c>
      <c r="AK31" s="47"/>
      <c r="AL31" s="47">
        <v>1</v>
      </c>
      <c r="AM31" s="28">
        <f t="shared" si="0"/>
        <v>10</v>
      </c>
      <c r="AN31" s="28"/>
    </row>
    <row r="32" spans="1:40">
      <c r="A32" s="28">
        <v>30</v>
      </c>
      <c r="B32" s="29">
        <v>500208</v>
      </c>
      <c r="C32" s="28" t="s">
        <v>98</v>
      </c>
      <c r="D32" s="28"/>
      <c r="E32" s="28">
        <v>20151124</v>
      </c>
      <c r="F32" s="28"/>
      <c r="G32" s="29" t="s">
        <v>51</v>
      </c>
      <c r="H32" s="30" t="s">
        <v>56</v>
      </c>
      <c r="I32" s="28" t="s">
        <v>57</v>
      </c>
      <c r="J32" s="28" t="s">
        <v>58</v>
      </c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28">
        <f t="shared" si="0"/>
        <v>0</v>
      </c>
      <c r="AN32" s="28"/>
    </row>
    <row r="33" spans="1:40">
      <c r="A33" s="28">
        <v>31</v>
      </c>
      <c r="B33" s="29">
        <v>500295</v>
      </c>
      <c r="C33" s="28" t="s">
        <v>109</v>
      </c>
      <c r="D33" s="28"/>
      <c r="E33" s="28">
        <v>20160421</v>
      </c>
      <c r="F33" s="28"/>
      <c r="G33" s="29" t="s">
        <v>51</v>
      </c>
      <c r="H33" s="30" t="s">
        <v>56</v>
      </c>
      <c r="I33" s="28" t="s">
        <v>57</v>
      </c>
      <c r="J33" s="28" t="s">
        <v>58</v>
      </c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28">
        <f t="shared" si="0"/>
        <v>0</v>
      </c>
      <c r="AN33" s="28"/>
    </row>
    <row r="34" spans="1:40">
      <c r="A34" s="28">
        <v>32</v>
      </c>
      <c r="B34" s="29">
        <v>500778</v>
      </c>
      <c r="C34" s="28" t="s">
        <v>168</v>
      </c>
      <c r="D34" s="28"/>
      <c r="E34" s="28">
        <v>20180710</v>
      </c>
      <c r="F34" s="28"/>
      <c r="G34" s="29" t="s">
        <v>51</v>
      </c>
      <c r="H34" s="30" t="s">
        <v>56</v>
      </c>
      <c r="I34" s="28" t="s">
        <v>57</v>
      </c>
      <c r="J34" s="28" t="s">
        <v>58</v>
      </c>
      <c r="K34" s="47">
        <v>1</v>
      </c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>
        <v>1</v>
      </c>
      <c r="AI34" s="47"/>
      <c r="AJ34" s="47"/>
      <c r="AK34" s="47"/>
      <c r="AL34" s="47"/>
      <c r="AM34" s="28">
        <f t="shared" si="0"/>
        <v>2</v>
      </c>
      <c r="AN34" s="28"/>
    </row>
    <row r="35" spans="1:40">
      <c r="A35" s="28">
        <v>33</v>
      </c>
      <c r="B35" s="29">
        <v>501131</v>
      </c>
      <c r="C35" s="28" t="s">
        <v>204</v>
      </c>
      <c r="D35" s="28"/>
      <c r="E35" s="28">
        <v>20220614</v>
      </c>
      <c r="F35" s="28"/>
      <c r="G35" s="29" t="s">
        <v>51</v>
      </c>
      <c r="H35" s="30" t="s">
        <v>56</v>
      </c>
      <c r="I35" s="28" t="s">
        <v>57</v>
      </c>
      <c r="J35" s="28" t="s">
        <v>58</v>
      </c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28">
        <f t="shared" si="0"/>
        <v>0</v>
      </c>
      <c r="AN35" s="28"/>
    </row>
    <row r="36" spans="1:40">
      <c r="A36" s="28">
        <v>34</v>
      </c>
      <c r="B36" s="29">
        <v>501229</v>
      </c>
      <c r="C36" s="28" t="s">
        <v>220</v>
      </c>
      <c r="D36" s="28"/>
      <c r="E36" s="28">
        <v>20240704</v>
      </c>
      <c r="F36" s="28"/>
      <c r="G36" s="29" t="s">
        <v>51</v>
      </c>
      <c r="H36" s="30" t="s">
        <v>56</v>
      </c>
      <c r="I36" s="28" t="s">
        <v>57</v>
      </c>
      <c r="J36" s="28" t="s">
        <v>58</v>
      </c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>
        <v>1</v>
      </c>
      <c r="AC36" s="47"/>
      <c r="AD36" s="47">
        <v>1</v>
      </c>
      <c r="AE36" s="47"/>
      <c r="AF36" s="47"/>
      <c r="AG36" s="47"/>
      <c r="AH36" s="47"/>
      <c r="AI36" s="47"/>
      <c r="AJ36" s="47"/>
      <c r="AK36" s="47"/>
      <c r="AL36" s="47"/>
      <c r="AM36" s="28">
        <f t="shared" si="0"/>
        <v>2</v>
      </c>
      <c r="AN36" s="28"/>
    </row>
    <row r="37" spans="1:40">
      <c r="A37" s="28">
        <v>35</v>
      </c>
      <c r="B37" s="29">
        <v>501240</v>
      </c>
      <c r="C37" s="28" t="s">
        <v>225</v>
      </c>
      <c r="D37" s="28"/>
      <c r="E37" s="28">
        <v>20240827</v>
      </c>
      <c r="F37" s="28"/>
      <c r="G37" s="29" t="s">
        <v>51</v>
      </c>
      <c r="H37" s="30" t="s">
        <v>56</v>
      </c>
      <c r="I37" s="28" t="s">
        <v>57</v>
      </c>
      <c r="J37" s="28" t="s">
        <v>58</v>
      </c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28">
        <f t="shared" si="0"/>
        <v>0</v>
      </c>
      <c r="AN37" s="28"/>
    </row>
    <row r="38" spans="1:40">
      <c r="A38" s="28">
        <v>36</v>
      </c>
      <c r="B38" s="29">
        <v>501251</v>
      </c>
      <c r="C38" s="28" t="s">
        <v>233</v>
      </c>
      <c r="D38" s="28"/>
      <c r="E38" s="28">
        <v>20241014</v>
      </c>
      <c r="F38" s="28"/>
      <c r="G38" s="29" t="s">
        <v>51</v>
      </c>
      <c r="H38" s="30" t="s">
        <v>56</v>
      </c>
      <c r="I38" s="28" t="s">
        <v>57</v>
      </c>
      <c r="J38" s="28" t="s">
        <v>58</v>
      </c>
      <c r="K38" s="47"/>
      <c r="L38" s="47">
        <v>1</v>
      </c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>
        <v>1</v>
      </c>
      <c r="AC38" s="47"/>
      <c r="AD38" s="47"/>
      <c r="AE38" s="47"/>
      <c r="AF38" s="47"/>
      <c r="AG38" s="47">
        <v>1</v>
      </c>
      <c r="AH38" s="47">
        <v>1</v>
      </c>
      <c r="AI38" s="47"/>
      <c r="AJ38" s="47">
        <v>1</v>
      </c>
      <c r="AK38" s="47">
        <v>1</v>
      </c>
      <c r="AL38" s="47"/>
      <c r="AM38" s="28">
        <f t="shared" si="0"/>
        <v>6</v>
      </c>
      <c r="AN38" s="28"/>
    </row>
    <row r="39" spans="1:40">
      <c r="A39" s="28">
        <v>37</v>
      </c>
      <c r="B39" s="29">
        <v>500183</v>
      </c>
      <c r="C39" s="28" t="s">
        <v>89</v>
      </c>
      <c r="D39" s="28"/>
      <c r="E39" s="28">
        <v>20151023</v>
      </c>
      <c r="F39" s="28"/>
      <c r="G39" s="29" t="s">
        <v>51</v>
      </c>
      <c r="H39" s="30" t="s">
        <v>90</v>
      </c>
      <c r="I39" s="28" t="s">
        <v>91</v>
      </c>
      <c r="J39" s="28" t="s">
        <v>58</v>
      </c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>
        <v>1</v>
      </c>
      <c r="AM39" s="28">
        <f t="shared" si="0"/>
        <v>1</v>
      </c>
      <c r="AN39" s="28"/>
    </row>
    <row r="40" spans="1:40">
      <c r="A40" s="28">
        <v>38</v>
      </c>
      <c r="B40" s="29">
        <v>500278</v>
      </c>
      <c r="C40" s="28" t="s">
        <v>107</v>
      </c>
      <c r="D40" s="28"/>
      <c r="E40" s="28">
        <v>20160218</v>
      </c>
      <c r="F40" s="28"/>
      <c r="G40" s="29" t="s">
        <v>51</v>
      </c>
      <c r="H40" s="30" t="s">
        <v>90</v>
      </c>
      <c r="I40" s="28" t="s">
        <v>91</v>
      </c>
      <c r="J40" s="28" t="s">
        <v>58</v>
      </c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28">
        <f t="shared" si="0"/>
        <v>0</v>
      </c>
      <c r="AN40" s="28"/>
    </row>
    <row r="41" spans="1:40">
      <c r="A41" s="28">
        <v>39</v>
      </c>
      <c r="B41" s="29">
        <v>500546</v>
      </c>
      <c r="C41" s="28" t="s">
        <v>152</v>
      </c>
      <c r="D41" s="28"/>
      <c r="E41" s="28">
        <v>20170523</v>
      </c>
      <c r="F41" s="28"/>
      <c r="G41" s="29" t="s">
        <v>51</v>
      </c>
      <c r="H41" s="30" t="s">
        <v>90</v>
      </c>
      <c r="I41" s="28" t="s">
        <v>91</v>
      </c>
      <c r="J41" s="28" t="s">
        <v>54</v>
      </c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28">
        <f t="shared" si="0"/>
        <v>0</v>
      </c>
      <c r="AN41" s="28"/>
    </row>
    <row r="42" spans="1:40">
      <c r="A42" s="28">
        <v>40</v>
      </c>
      <c r="B42" s="29">
        <v>500793</v>
      </c>
      <c r="C42" s="28" t="s">
        <v>171</v>
      </c>
      <c r="D42" s="28"/>
      <c r="E42" s="28">
        <v>20180911</v>
      </c>
      <c r="F42" s="28"/>
      <c r="G42" s="29" t="s">
        <v>51</v>
      </c>
      <c r="H42" s="30" t="s">
        <v>90</v>
      </c>
      <c r="I42" s="28" t="s">
        <v>91</v>
      </c>
      <c r="J42" s="28" t="s">
        <v>58</v>
      </c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28">
        <f t="shared" si="0"/>
        <v>0</v>
      </c>
      <c r="AN42" s="28"/>
    </row>
    <row r="43" spans="1:40">
      <c r="A43" s="28">
        <v>41</v>
      </c>
      <c r="B43" s="29">
        <v>501058</v>
      </c>
      <c r="C43" s="28" t="s">
        <v>194</v>
      </c>
      <c r="D43" s="28"/>
      <c r="E43" s="28">
        <v>20210622</v>
      </c>
      <c r="F43" s="28"/>
      <c r="G43" s="29" t="s">
        <v>51</v>
      </c>
      <c r="H43" s="30" t="s">
        <v>90</v>
      </c>
      <c r="I43" s="28" t="s">
        <v>91</v>
      </c>
      <c r="J43" s="28" t="s">
        <v>58</v>
      </c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28">
        <f t="shared" si="0"/>
        <v>0</v>
      </c>
      <c r="AN43" s="28"/>
    </row>
    <row r="44" spans="1:40">
      <c r="A44" s="28">
        <v>42</v>
      </c>
      <c r="B44" s="29">
        <v>501088</v>
      </c>
      <c r="C44" s="28" t="s">
        <v>198</v>
      </c>
      <c r="D44" s="28"/>
      <c r="E44" s="28">
        <v>20211123</v>
      </c>
      <c r="F44" s="28"/>
      <c r="G44" s="29" t="s">
        <v>51</v>
      </c>
      <c r="H44" s="30" t="s">
        <v>90</v>
      </c>
      <c r="I44" s="28" t="s">
        <v>91</v>
      </c>
      <c r="J44" s="28" t="s">
        <v>58</v>
      </c>
      <c r="K44" s="47">
        <v>1</v>
      </c>
      <c r="L44" s="47">
        <v>1</v>
      </c>
      <c r="M44" s="47">
        <v>1</v>
      </c>
      <c r="N44" s="47"/>
      <c r="O44" s="47">
        <v>1</v>
      </c>
      <c r="P44" s="47">
        <v>1</v>
      </c>
      <c r="Q44" s="47"/>
      <c r="R44" s="47"/>
      <c r="S44" s="47">
        <v>1</v>
      </c>
      <c r="T44" s="47"/>
      <c r="U44" s="47">
        <v>1</v>
      </c>
      <c r="V44" s="47"/>
      <c r="W44" s="47"/>
      <c r="X44" s="47"/>
      <c r="Y44" s="47">
        <v>1</v>
      </c>
      <c r="Z44" s="47"/>
      <c r="AA44" s="47"/>
      <c r="AB44" s="47"/>
      <c r="AC44" s="47">
        <v>1</v>
      </c>
      <c r="AD44" s="47"/>
      <c r="AE44" s="47"/>
      <c r="AF44" s="47"/>
      <c r="AG44" s="47"/>
      <c r="AH44" s="47"/>
      <c r="AI44" s="47">
        <v>1</v>
      </c>
      <c r="AJ44" s="47">
        <v>1</v>
      </c>
      <c r="AK44" s="47">
        <v>1</v>
      </c>
      <c r="AL44" s="47"/>
      <c r="AM44" s="28">
        <f t="shared" si="0"/>
        <v>12</v>
      </c>
      <c r="AN44" s="28"/>
    </row>
    <row r="45" spans="1:40">
      <c r="A45" s="28">
        <v>43</v>
      </c>
      <c r="B45" s="29">
        <v>501091</v>
      </c>
      <c r="C45" s="28" t="s">
        <v>199</v>
      </c>
      <c r="D45" s="28"/>
      <c r="E45" s="28">
        <v>20211125</v>
      </c>
      <c r="F45" s="28"/>
      <c r="G45" s="29" t="s">
        <v>51</v>
      </c>
      <c r="H45" s="30" t="s">
        <v>90</v>
      </c>
      <c r="I45" s="28" t="s">
        <v>91</v>
      </c>
      <c r="J45" s="28" t="s">
        <v>58</v>
      </c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28">
        <f t="shared" si="0"/>
        <v>0</v>
      </c>
      <c r="AN45" s="28"/>
    </row>
    <row r="46" spans="1:40">
      <c r="A46" s="28">
        <v>44</v>
      </c>
      <c r="B46" s="29">
        <v>501109</v>
      </c>
      <c r="C46" s="28" t="s">
        <v>201</v>
      </c>
      <c r="D46" s="28"/>
      <c r="E46" s="28">
        <v>20220127</v>
      </c>
      <c r="F46" s="28"/>
      <c r="G46" s="29" t="s">
        <v>51</v>
      </c>
      <c r="H46" s="30" t="s">
        <v>90</v>
      </c>
      <c r="I46" s="28" t="s">
        <v>91</v>
      </c>
      <c r="J46" s="28" t="s">
        <v>58</v>
      </c>
      <c r="K46" s="47">
        <v>1</v>
      </c>
      <c r="L46" s="47">
        <v>1</v>
      </c>
      <c r="M46" s="47"/>
      <c r="N46" s="47">
        <v>1</v>
      </c>
      <c r="O46" s="47"/>
      <c r="P46" s="47">
        <v>1</v>
      </c>
      <c r="Q46" s="47"/>
      <c r="R46" s="47"/>
      <c r="S46" s="47">
        <v>1</v>
      </c>
      <c r="T46" s="47">
        <v>1</v>
      </c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28">
        <f t="shared" si="0"/>
        <v>6</v>
      </c>
      <c r="AN46" s="28"/>
    </row>
    <row r="47" spans="1:40">
      <c r="A47" s="28">
        <v>45</v>
      </c>
      <c r="B47" s="29">
        <v>501238</v>
      </c>
      <c r="C47" s="28" t="s">
        <v>223</v>
      </c>
      <c r="D47" s="28"/>
      <c r="E47" s="28">
        <v>20240822</v>
      </c>
      <c r="F47" s="28"/>
      <c r="G47" s="29" t="s">
        <v>51</v>
      </c>
      <c r="H47" s="30" t="s">
        <v>90</v>
      </c>
      <c r="I47" s="28" t="s">
        <v>91</v>
      </c>
      <c r="J47" s="28" t="s">
        <v>58</v>
      </c>
      <c r="K47" s="47"/>
      <c r="L47" s="47"/>
      <c r="M47" s="47"/>
      <c r="N47" s="47"/>
      <c r="O47" s="47"/>
      <c r="P47" s="47"/>
      <c r="Q47" s="47"/>
      <c r="R47" s="47"/>
      <c r="S47" s="47">
        <v>1</v>
      </c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>
        <v>1</v>
      </c>
      <c r="AK47" s="47"/>
      <c r="AL47" s="47"/>
      <c r="AM47" s="28">
        <f t="shared" si="0"/>
        <v>2</v>
      </c>
      <c r="AN47" s="28"/>
    </row>
    <row r="48" spans="1:40">
      <c r="A48" s="28">
        <v>46</v>
      </c>
      <c r="B48" s="29">
        <v>501269</v>
      </c>
      <c r="C48" s="28" t="s">
        <v>244</v>
      </c>
      <c r="D48" s="28"/>
      <c r="E48" s="28">
        <v>20250310</v>
      </c>
      <c r="F48" s="28"/>
      <c r="G48" s="29" t="s">
        <v>51</v>
      </c>
      <c r="H48" s="30" t="s">
        <v>90</v>
      </c>
      <c r="I48" s="28" t="s">
        <v>91</v>
      </c>
      <c r="J48" s="28" t="s">
        <v>58</v>
      </c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28">
        <f t="shared" si="0"/>
        <v>0</v>
      </c>
      <c r="AN48" s="28"/>
    </row>
    <row r="49" spans="1:40">
      <c r="A49" s="28">
        <v>47</v>
      </c>
      <c r="B49" s="29">
        <v>500042</v>
      </c>
      <c r="C49" s="28" t="s">
        <v>73</v>
      </c>
      <c r="D49" s="28"/>
      <c r="E49" s="28">
        <v>20150305</v>
      </c>
      <c r="F49" s="28"/>
      <c r="G49" s="29" t="s">
        <v>51</v>
      </c>
      <c r="H49" s="30" t="s">
        <v>74</v>
      </c>
      <c r="I49" s="28" t="s">
        <v>75</v>
      </c>
      <c r="J49" s="28" t="s">
        <v>58</v>
      </c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28">
        <f t="shared" si="0"/>
        <v>0</v>
      </c>
      <c r="AN49" s="28"/>
    </row>
    <row r="50" spans="1:40">
      <c r="A50" s="28">
        <v>48</v>
      </c>
      <c r="B50" s="29">
        <v>500126</v>
      </c>
      <c r="C50" s="28" t="s">
        <v>87</v>
      </c>
      <c r="D50" s="28"/>
      <c r="E50" s="28">
        <v>20150729</v>
      </c>
      <c r="F50" s="28"/>
      <c r="G50" s="29" t="s">
        <v>51</v>
      </c>
      <c r="H50" s="30" t="s">
        <v>74</v>
      </c>
      <c r="I50" s="28" t="s">
        <v>75</v>
      </c>
      <c r="J50" s="28" t="s">
        <v>58</v>
      </c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28">
        <f t="shared" si="0"/>
        <v>0</v>
      </c>
      <c r="AN50" s="28"/>
    </row>
    <row r="51" spans="1:40">
      <c r="A51" s="28">
        <v>49</v>
      </c>
      <c r="B51" s="29">
        <v>500226</v>
      </c>
      <c r="C51" s="28" t="s">
        <v>100</v>
      </c>
      <c r="D51" s="28"/>
      <c r="E51" s="28">
        <v>20151210</v>
      </c>
      <c r="F51" s="28"/>
      <c r="G51" s="29" t="s">
        <v>51</v>
      </c>
      <c r="H51" s="30" t="s">
        <v>74</v>
      </c>
      <c r="I51" s="28" t="s">
        <v>75</v>
      </c>
      <c r="J51" s="28" t="s">
        <v>54</v>
      </c>
      <c r="K51" s="47"/>
      <c r="L51" s="47"/>
      <c r="M51" s="47"/>
      <c r="N51" s="47">
        <v>1</v>
      </c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>
        <v>1</v>
      </c>
      <c r="AM51" s="28">
        <f t="shared" si="0"/>
        <v>2</v>
      </c>
      <c r="AN51" s="28"/>
    </row>
    <row r="52" spans="1:40">
      <c r="A52" s="28">
        <v>50</v>
      </c>
      <c r="B52" s="29">
        <v>500366</v>
      </c>
      <c r="C52" s="28" t="s">
        <v>123</v>
      </c>
      <c r="D52" s="28"/>
      <c r="E52" s="28">
        <v>20160901</v>
      </c>
      <c r="F52" s="28"/>
      <c r="G52" s="29" t="s">
        <v>51</v>
      </c>
      <c r="H52" s="30" t="s">
        <v>74</v>
      </c>
      <c r="I52" s="28" t="s">
        <v>75</v>
      </c>
      <c r="J52" s="28" t="s">
        <v>54</v>
      </c>
      <c r="K52" s="47"/>
      <c r="L52" s="47"/>
      <c r="M52" s="47"/>
      <c r="N52" s="47">
        <v>1</v>
      </c>
      <c r="O52" s="47"/>
      <c r="P52" s="47"/>
      <c r="Q52" s="47"/>
      <c r="R52" s="47"/>
      <c r="S52" s="47"/>
      <c r="T52" s="47"/>
      <c r="U52" s="47">
        <v>1</v>
      </c>
      <c r="V52" s="47"/>
      <c r="W52" s="47"/>
      <c r="X52" s="47"/>
      <c r="Y52" s="47"/>
      <c r="Z52" s="47"/>
      <c r="AA52" s="47"/>
      <c r="AB52" s="47"/>
      <c r="AC52" s="47">
        <v>1</v>
      </c>
      <c r="AD52" s="47"/>
      <c r="AE52" s="47">
        <v>1</v>
      </c>
      <c r="AF52" s="47"/>
      <c r="AG52" s="47"/>
      <c r="AH52" s="47"/>
      <c r="AI52" s="47"/>
      <c r="AJ52" s="47"/>
      <c r="AK52" s="47"/>
      <c r="AL52" s="47"/>
      <c r="AM52" s="28">
        <f t="shared" si="0"/>
        <v>4</v>
      </c>
      <c r="AN52" s="28"/>
    </row>
    <row r="53" spans="1:40">
      <c r="A53" s="28">
        <v>51</v>
      </c>
      <c r="B53" s="29">
        <v>500436</v>
      </c>
      <c r="C53" s="28" t="s">
        <v>138</v>
      </c>
      <c r="D53" s="28"/>
      <c r="E53" s="28">
        <v>20161227</v>
      </c>
      <c r="F53" s="28"/>
      <c r="G53" s="29" t="s">
        <v>51</v>
      </c>
      <c r="H53" s="30" t="s">
        <v>74</v>
      </c>
      <c r="I53" s="28" t="s">
        <v>75</v>
      </c>
      <c r="J53" s="28" t="s">
        <v>54</v>
      </c>
      <c r="K53" s="47"/>
      <c r="L53" s="47"/>
      <c r="M53" s="47"/>
      <c r="N53" s="47"/>
      <c r="O53" s="47">
        <v>1</v>
      </c>
      <c r="P53" s="47"/>
      <c r="Q53" s="47"/>
      <c r="R53" s="47"/>
      <c r="S53" s="47">
        <v>1</v>
      </c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28">
        <f t="shared" si="0"/>
        <v>2</v>
      </c>
      <c r="AN53" s="28"/>
    </row>
    <row r="54" spans="1:40">
      <c r="A54" s="28">
        <v>52</v>
      </c>
      <c r="B54" s="29">
        <v>500570</v>
      </c>
      <c r="C54" s="28" t="s">
        <v>92</v>
      </c>
      <c r="D54" s="28"/>
      <c r="E54" s="28">
        <v>20170704</v>
      </c>
      <c r="F54" s="28"/>
      <c r="G54" s="29" t="s">
        <v>51</v>
      </c>
      <c r="H54" s="30" t="s">
        <v>74</v>
      </c>
      <c r="I54" s="28" t="s">
        <v>75</v>
      </c>
      <c r="J54" s="28" t="s">
        <v>54</v>
      </c>
      <c r="K54" s="47"/>
      <c r="L54" s="47">
        <v>1</v>
      </c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>
        <v>1</v>
      </c>
      <c r="AF54" s="47"/>
      <c r="AG54" s="47"/>
      <c r="AH54" s="47"/>
      <c r="AI54" s="47"/>
      <c r="AJ54" s="47"/>
      <c r="AK54" s="47"/>
      <c r="AL54" s="47"/>
      <c r="AM54" s="28">
        <f t="shared" si="0"/>
        <v>2</v>
      </c>
      <c r="AN54" s="28"/>
    </row>
    <row r="55" spans="1:40">
      <c r="A55" s="28">
        <v>53</v>
      </c>
      <c r="B55" s="29">
        <v>500629</v>
      </c>
      <c r="C55" s="28" t="s">
        <v>156</v>
      </c>
      <c r="D55" s="28"/>
      <c r="E55" s="28">
        <v>20170919</v>
      </c>
      <c r="F55" s="28"/>
      <c r="G55" s="29" t="s">
        <v>51</v>
      </c>
      <c r="H55" s="30" t="s">
        <v>74</v>
      </c>
      <c r="I55" s="28" t="s">
        <v>75</v>
      </c>
      <c r="J55" s="28" t="s">
        <v>58</v>
      </c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28">
        <f t="shared" si="0"/>
        <v>0</v>
      </c>
      <c r="AN55" s="28"/>
    </row>
    <row r="56" spans="1:40">
      <c r="A56" s="28">
        <v>54</v>
      </c>
      <c r="B56" s="29">
        <v>500683</v>
      </c>
      <c r="C56" s="28" t="s">
        <v>158</v>
      </c>
      <c r="D56" s="28"/>
      <c r="E56" s="28">
        <v>20180201</v>
      </c>
      <c r="F56" s="28"/>
      <c r="G56" s="29" t="s">
        <v>51</v>
      </c>
      <c r="H56" s="30" t="s">
        <v>74</v>
      </c>
      <c r="I56" s="28" t="s">
        <v>75</v>
      </c>
      <c r="J56" s="28" t="s">
        <v>58</v>
      </c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>
        <v>1</v>
      </c>
      <c r="AH56" s="47"/>
      <c r="AI56" s="47"/>
      <c r="AJ56" s="47"/>
      <c r="AK56" s="47"/>
      <c r="AL56" s="47"/>
      <c r="AM56" s="28">
        <f t="shared" si="0"/>
        <v>1</v>
      </c>
      <c r="AN56" s="28"/>
    </row>
    <row r="57" spans="1:40">
      <c r="A57" s="28">
        <v>55</v>
      </c>
      <c r="B57" s="29">
        <v>500699</v>
      </c>
      <c r="C57" s="28" t="s">
        <v>161</v>
      </c>
      <c r="D57" s="28"/>
      <c r="E57" s="28">
        <v>20180306</v>
      </c>
      <c r="F57" s="28"/>
      <c r="G57" s="29" t="s">
        <v>51</v>
      </c>
      <c r="H57" s="30" t="s">
        <v>74</v>
      </c>
      <c r="I57" s="28" t="s">
        <v>75</v>
      </c>
      <c r="J57" s="28" t="s">
        <v>54</v>
      </c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28">
        <f t="shared" si="0"/>
        <v>0</v>
      </c>
      <c r="AN57" s="28"/>
    </row>
    <row r="58" spans="1:40">
      <c r="A58" s="28">
        <v>56</v>
      </c>
      <c r="B58" s="29">
        <v>500995</v>
      </c>
      <c r="C58" s="28" t="s">
        <v>191</v>
      </c>
      <c r="D58" s="28"/>
      <c r="E58" s="28">
        <v>20200514</v>
      </c>
      <c r="F58" s="28"/>
      <c r="G58" s="29" t="s">
        <v>51</v>
      </c>
      <c r="H58" s="30" t="s">
        <v>74</v>
      </c>
      <c r="I58" s="28" t="s">
        <v>75</v>
      </c>
      <c r="J58" s="28" t="s">
        <v>58</v>
      </c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28">
        <f t="shared" si="0"/>
        <v>0</v>
      </c>
      <c r="AN58" s="28"/>
    </row>
    <row r="59" spans="1:40">
      <c r="A59" s="28">
        <v>57</v>
      </c>
      <c r="B59" s="29">
        <v>501036</v>
      </c>
      <c r="C59" s="28" t="s">
        <v>192</v>
      </c>
      <c r="D59" s="28"/>
      <c r="E59" s="28">
        <v>20210503</v>
      </c>
      <c r="F59" s="28"/>
      <c r="G59" s="29" t="s">
        <v>51</v>
      </c>
      <c r="H59" s="30" t="s">
        <v>74</v>
      </c>
      <c r="I59" s="28" t="s">
        <v>75</v>
      </c>
      <c r="J59" s="28" t="s">
        <v>54</v>
      </c>
      <c r="K59" s="47"/>
      <c r="L59" s="47">
        <v>1</v>
      </c>
      <c r="M59" s="47"/>
      <c r="N59" s="47">
        <v>1</v>
      </c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28">
        <f t="shared" si="0"/>
        <v>2</v>
      </c>
      <c r="AN59" s="28"/>
    </row>
    <row r="60" spans="1:40">
      <c r="A60" s="28">
        <v>58</v>
      </c>
      <c r="B60" s="29">
        <v>501081</v>
      </c>
      <c r="C60" s="28" t="s">
        <v>196</v>
      </c>
      <c r="D60" s="28"/>
      <c r="E60" s="28">
        <v>20211102</v>
      </c>
      <c r="F60" s="28"/>
      <c r="G60" s="29" t="s">
        <v>51</v>
      </c>
      <c r="H60" s="30" t="s">
        <v>74</v>
      </c>
      <c r="I60" s="28" t="s">
        <v>75</v>
      </c>
      <c r="J60" s="28" t="s">
        <v>54</v>
      </c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28">
        <f t="shared" si="0"/>
        <v>0</v>
      </c>
      <c r="AN60" s="28"/>
    </row>
    <row r="61" spans="1:40">
      <c r="A61" s="28">
        <v>59</v>
      </c>
      <c r="B61" s="29">
        <v>501167</v>
      </c>
      <c r="C61" s="28" t="s">
        <v>206</v>
      </c>
      <c r="D61" s="28"/>
      <c r="E61" s="28">
        <v>20221123</v>
      </c>
      <c r="F61" s="28"/>
      <c r="G61" s="29" t="s">
        <v>51</v>
      </c>
      <c r="H61" s="30" t="s">
        <v>74</v>
      </c>
      <c r="I61" s="28" t="s">
        <v>75</v>
      </c>
      <c r="J61" s="28" t="s">
        <v>58</v>
      </c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28">
        <f t="shared" si="0"/>
        <v>0</v>
      </c>
      <c r="AN61" s="28"/>
    </row>
    <row r="62" spans="1:40">
      <c r="A62" s="28">
        <v>60</v>
      </c>
      <c r="B62" s="29">
        <v>501177</v>
      </c>
      <c r="C62" s="28" t="s">
        <v>207</v>
      </c>
      <c r="D62" s="28"/>
      <c r="E62" s="28">
        <v>20230223</v>
      </c>
      <c r="F62" s="28"/>
      <c r="G62" s="29" t="s">
        <v>51</v>
      </c>
      <c r="H62" s="30" t="s">
        <v>74</v>
      </c>
      <c r="I62" s="28" t="s">
        <v>75</v>
      </c>
      <c r="J62" s="28" t="s">
        <v>58</v>
      </c>
      <c r="K62" s="47"/>
      <c r="L62" s="47"/>
      <c r="M62" s="47"/>
      <c r="N62" s="47"/>
      <c r="O62" s="47"/>
      <c r="P62" s="47"/>
      <c r="Q62" s="47"/>
      <c r="R62" s="47"/>
      <c r="S62" s="47"/>
      <c r="T62" s="47">
        <v>1</v>
      </c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>
        <v>1</v>
      </c>
      <c r="AF62" s="47"/>
      <c r="AG62" s="47"/>
      <c r="AH62" s="47"/>
      <c r="AI62" s="47"/>
      <c r="AJ62" s="47"/>
      <c r="AK62" s="47"/>
      <c r="AL62" s="47"/>
      <c r="AM62" s="28">
        <f t="shared" si="0"/>
        <v>2</v>
      </c>
      <c r="AN62" s="28"/>
    </row>
    <row r="63" spans="1:40">
      <c r="A63" s="28">
        <v>61</v>
      </c>
      <c r="B63" s="29">
        <v>501192</v>
      </c>
      <c r="C63" s="28" t="s">
        <v>208</v>
      </c>
      <c r="D63" s="28"/>
      <c r="E63" s="28">
        <v>20230601</v>
      </c>
      <c r="F63" s="28"/>
      <c r="G63" s="29" t="s">
        <v>51</v>
      </c>
      <c r="H63" s="30" t="s">
        <v>74</v>
      </c>
      <c r="I63" s="28" t="s">
        <v>75</v>
      </c>
      <c r="J63" s="28" t="s">
        <v>54</v>
      </c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>
        <v>1</v>
      </c>
      <c r="AM63" s="28">
        <f t="shared" si="0"/>
        <v>1</v>
      </c>
      <c r="AN63" s="28"/>
    </row>
    <row r="64" spans="1:40">
      <c r="A64" s="28">
        <v>62</v>
      </c>
      <c r="B64" s="29">
        <v>501217</v>
      </c>
      <c r="C64" s="28" t="s">
        <v>215</v>
      </c>
      <c r="D64" s="28"/>
      <c r="E64" s="28">
        <v>20240524</v>
      </c>
      <c r="F64" s="28"/>
      <c r="G64" s="29" t="s">
        <v>51</v>
      </c>
      <c r="H64" s="30" t="s">
        <v>74</v>
      </c>
      <c r="I64" s="28" t="s">
        <v>75</v>
      </c>
      <c r="J64" s="28" t="s">
        <v>58</v>
      </c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28">
        <f t="shared" si="0"/>
        <v>0</v>
      </c>
      <c r="AN64" s="28"/>
    </row>
    <row r="65" spans="1:40">
      <c r="A65" s="28">
        <v>63</v>
      </c>
      <c r="B65" s="29">
        <v>501250</v>
      </c>
      <c r="C65" s="28" t="s">
        <v>232</v>
      </c>
      <c r="D65" s="28"/>
      <c r="E65" s="28">
        <v>20241010</v>
      </c>
      <c r="F65" s="28"/>
      <c r="G65" s="29" t="s">
        <v>51</v>
      </c>
      <c r="H65" s="30" t="s">
        <v>74</v>
      </c>
      <c r="I65" s="28" t="s">
        <v>75</v>
      </c>
      <c r="J65" s="28" t="s">
        <v>58</v>
      </c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28">
        <f t="shared" si="0"/>
        <v>0</v>
      </c>
      <c r="AN65" s="28"/>
    </row>
    <row r="66" spans="1:40">
      <c r="A66" s="28">
        <v>64</v>
      </c>
      <c r="B66" s="29">
        <v>501256</v>
      </c>
      <c r="C66" s="28" t="s">
        <v>236</v>
      </c>
      <c r="D66" s="28"/>
      <c r="E66" s="28">
        <v>20241104</v>
      </c>
      <c r="F66" s="28"/>
      <c r="G66" s="29" t="s">
        <v>51</v>
      </c>
      <c r="H66" s="30" t="s">
        <v>74</v>
      </c>
      <c r="I66" s="28" t="s">
        <v>75</v>
      </c>
      <c r="J66" s="28" t="s">
        <v>58</v>
      </c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28">
        <f t="shared" si="0"/>
        <v>0</v>
      </c>
      <c r="AN66" s="28"/>
    </row>
    <row r="67" spans="1:40">
      <c r="A67" s="28">
        <v>65</v>
      </c>
      <c r="B67" s="29">
        <v>501265</v>
      </c>
      <c r="C67" s="28" t="s">
        <v>242</v>
      </c>
      <c r="D67" s="28"/>
      <c r="E67" s="28">
        <v>20250303</v>
      </c>
      <c r="F67" s="28"/>
      <c r="G67" s="29" t="s">
        <v>51</v>
      </c>
      <c r="H67" s="30" t="s">
        <v>74</v>
      </c>
      <c r="I67" s="28" t="s">
        <v>75</v>
      </c>
      <c r="J67" s="28" t="s">
        <v>58</v>
      </c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28">
        <f t="shared" ref="AM67:AM130" si="1">SUM(K67:AL67)</f>
        <v>0</v>
      </c>
      <c r="AN67" s="28"/>
    </row>
    <row r="68" spans="1:40">
      <c r="A68" s="28">
        <v>66</v>
      </c>
      <c r="B68" s="29">
        <v>501275</v>
      </c>
      <c r="C68" s="28" t="s">
        <v>248</v>
      </c>
      <c r="D68" s="28"/>
      <c r="E68" s="28">
        <v>20250429</v>
      </c>
      <c r="F68" s="28"/>
      <c r="G68" s="29" t="s">
        <v>51</v>
      </c>
      <c r="H68" s="30" t="s">
        <v>74</v>
      </c>
      <c r="I68" s="28" t="s">
        <v>75</v>
      </c>
      <c r="J68" s="28" t="s">
        <v>58</v>
      </c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28">
        <f t="shared" si="1"/>
        <v>0</v>
      </c>
      <c r="AN68" s="28"/>
    </row>
    <row r="69" spans="1:40">
      <c r="A69" s="28">
        <v>67</v>
      </c>
      <c r="B69" s="29">
        <v>501280</v>
      </c>
      <c r="C69" s="28" t="s">
        <v>252</v>
      </c>
      <c r="D69" s="28"/>
      <c r="E69" s="28">
        <v>20250506</v>
      </c>
      <c r="F69" s="28"/>
      <c r="G69" s="29" t="s">
        <v>51</v>
      </c>
      <c r="H69" s="30" t="s">
        <v>74</v>
      </c>
      <c r="I69" s="28" t="s">
        <v>75</v>
      </c>
      <c r="J69" s="28" t="s">
        <v>58</v>
      </c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28">
        <f t="shared" si="1"/>
        <v>0</v>
      </c>
      <c r="AN69" s="28"/>
    </row>
    <row r="70" spans="1:40">
      <c r="A70" s="28">
        <v>68</v>
      </c>
      <c r="B70" s="29">
        <v>501284</v>
      </c>
      <c r="C70" s="28" t="s">
        <v>255</v>
      </c>
      <c r="D70" s="28"/>
      <c r="E70" s="28">
        <v>20250522</v>
      </c>
      <c r="F70" s="28"/>
      <c r="G70" s="29" t="s">
        <v>51</v>
      </c>
      <c r="H70" s="30" t="s">
        <v>74</v>
      </c>
      <c r="I70" s="28" t="s">
        <v>75</v>
      </c>
      <c r="J70" s="28" t="s">
        <v>54</v>
      </c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28">
        <f t="shared" si="1"/>
        <v>0</v>
      </c>
      <c r="AN70" s="28"/>
    </row>
    <row r="71" spans="1:40">
      <c r="A71" s="28">
        <v>69</v>
      </c>
      <c r="B71" s="29">
        <v>501296</v>
      </c>
      <c r="C71" s="28" t="s">
        <v>259</v>
      </c>
      <c r="D71" s="28"/>
      <c r="E71" s="28">
        <v>20250901</v>
      </c>
      <c r="F71" s="28"/>
      <c r="G71" s="29" t="s">
        <v>51</v>
      </c>
      <c r="H71" s="30" t="s">
        <v>74</v>
      </c>
      <c r="I71" s="28" t="s">
        <v>75</v>
      </c>
      <c r="J71" s="28" t="s">
        <v>58</v>
      </c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28">
        <f t="shared" si="1"/>
        <v>0</v>
      </c>
      <c r="AN71" s="28"/>
    </row>
    <row r="72" spans="1:40">
      <c r="A72" s="28">
        <v>70</v>
      </c>
      <c r="B72" s="29">
        <v>501299</v>
      </c>
      <c r="C72" s="28" t="s">
        <v>262</v>
      </c>
      <c r="D72" s="28"/>
      <c r="E72" s="28">
        <v>20250916</v>
      </c>
      <c r="F72" s="28"/>
      <c r="G72" s="29" t="s">
        <v>51</v>
      </c>
      <c r="H72" s="30" t="s">
        <v>74</v>
      </c>
      <c r="I72" s="28" t="s">
        <v>75</v>
      </c>
      <c r="J72" s="28" t="s">
        <v>58</v>
      </c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28">
        <f t="shared" si="1"/>
        <v>0</v>
      </c>
      <c r="AN72" s="28"/>
    </row>
    <row r="73" spans="1:40">
      <c r="A73" s="28">
        <v>71</v>
      </c>
      <c r="B73" s="29">
        <v>501311</v>
      </c>
      <c r="C73" s="28" t="s">
        <v>273</v>
      </c>
      <c r="D73" s="28"/>
      <c r="E73" s="28">
        <v>20251117</v>
      </c>
      <c r="F73" s="28"/>
      <c r="G73" s="29" t="s">
        <v>51</v>
      </c>
      <c r="H73" s="30" t="s">
        <v>74</v>
      </c>
      <c r="I73" s="28" t="s">
        <v>75</v>
      </c>
      <c r="J73" s="28" t="s">
        <v>54</v>
      </c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28">
        <f t="shared" si="1"/>
        <v>0</v>
      </c>
      <c r="AN73" s="28"/>
    </row>
    <row r="74" spans="1:40">
      <c r="A74" s="28">
        <v>72</v>
      </c>
      <c r="B74" s="29">
        <v>501316</v>
      </c>
      <c r="C74" s="28" t="s">
        <v>87</v>
      </c>
      <c r="D74" s="28"/>
      <c r="E74" s="28">
        <v>20260226</v>
      </c>
      <c r="F74" s="28"/>
      <c r="G74" s="29" t="s">
        <v>51</v>
      </c>
      <c r="H74" s="30" t="s">
        <v>74</v>
      </c>
      <c r="I74" s="28" t="s">
        <v>75</v>
      </c>
      <c r="J74" s="28" t="s">
        <v>58</v>
      </c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>
        <f t="shared" si="1"/>
        <v>0</v>
      </c>
      <c r="AN74" s="28"/>
    </row>
    <row r="75" spans="1:40">
      <c r="A75" s="28">
        <v>73</v>
      </c>
      <c r="B75" s="29">
        <v>501317</v>
      </c>
      <c r="C75" s="28" t="s">
        <v>431</v>
      </c>
      <c r="D75" s="28"/>
      <c r="E75" s="28">
        <v>20260226</v>
      </c>
      <c r="F75" s="28"/>
      <c r="G75" s="29" t="s">
        <v>51</v>
      </c>
      <c r="H75" s="30" t="s">
        <v>74</v>
      </c>
      <c r="I75" s="28" t="s">
        <v>75</v>
      </c>
      <c r="J75" s="28" t="s">
        <v>58</v>
      </c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>
        <f t="shared" si="1"/>
        <v>0</v>
      </c>
      <c r="AN75" s="28"/>
    </row>
    <row r="76" spans="1:40">
      <c r="A76" s="28">
        <v>74</v>
      </c>
      <c r="B76" s="29">
        <v>500005</v>
      </c>
      <c r="C76" s="28" t="s">
        <v>60</v>
      </c>
      <c r="D76" s="28"/>
      <c r="E76" s="28">
        <v>20140707</v>
      </c>
      <c r="F76" s="28"/>
      <c r="G76" s="29" t="s">
        <v>51</v>
      </c>
      <c r="H76" s="30" t="s">
        <v>61</v>
      </c>
      <c r="I76" s="28" t="s">
        <v>62</v>
      </c>
      <c r="J76" s="28" t="s">
        <v>54</v>
      </c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28">
        <f t="shared" si="1"/>
        <v>0</v>
      </c>
      <c r="AN76" s="28"/>
    </row>
    <row r="77" spans="1:40">
      <c r="A77" s="28">
        <v>75</v>
      </c>
      <c r="B77" s="29">
        <v>500009</v>
      </c>
      <c r="C77" s="28" t="s">
        <v>63</v>
      </c>
      <c r="D77" s="28"/>
      <c r="E77" s="28">
        <v>20140822</v>
      </c>
      <c r="F77" s="28"/>
      <c r="G77" s="29" t="s">
        <v>51</v>
      </c>
      <c r="H77" s="30" t="s">
        <v>61</v>
      </c>
      <c r="I77" s="28" t="s">
        <v>62</v>
      </c>
      <c r="J77" s="28" t="s">
        <v>54</v>
      </c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28">
        <f t="shared" si="1"/>
        <v>0</v>
      </c>
      <c r="AN77" s="28"/>
    </row>
    <row r="78" spans="1:40">
      <c r="A78" s="28">
        <v>76</v>
      </c>
      <c r="B78" s="29">
        <v>500051</v>
      </c>
      <c r="C78" s="28" t="s">
        <v>76</v>
      </c>
      <c r="D78" s="28"/>
      <c r="E78" s="28">
        <v>20150504</v>
      </c>
      <c r="F78" s="28"/>
      <c r="G78" s="29" t="s">
        <v>51</v>
      </c>
      <c r="H78" s="30" t="s">
        <v>61</v>
      </c>
      <c r="I78" s="28" t="s">
        <v>62</v>
      </c>
      <c r="J78" s="28" t="s">
        <v>58</v>
      </c>
      <c r="K78" s="47"/>
      <c r="L78" s="47"/>
      <c r="M78" s="47"/>
      <c r="N78" s="47">
        <v>1</v>
      </c>
      <c r="O78" s="47"/>
      <c r="P78" s="47"/>
      <c r="Q78" s="47">
        <v>1</v>
      </c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>
        <v>1</v>
      </c>
      <c r="AD78" s="47"/>
      <c r="AE78" s="47">
        <v>1</v>
      </c>
      <c r="AF78" s="47"/>
      <c r="AG78" s="47"/>
      <c r="AH78" s="47"/>
      <c r="AI78" s="47"/>
      <c r="AJ78" s="47"/>
      <c r="AK78" s="47"/>
      <c r="AL78" s="47"/>
      <c r="AM78" s="28">
        <f t="shared" si="1"/>
        <v>4</v>
      </c>
      <c r="AN78" s="28"/>
    </row>
    <row r="79" spans="1:40">
      <c r="A79" s="28">
        <v>77</v>
      </c>
      <c r="B79" s="29">
        <v>500052</v>
      </c>
      <c r="C79" s="28" t="s">
        <v>77</v>
      </c>
      <c r="D79" s="28"/>
      <c r="E79" s="28">
        <v>20150507</v>
      </c>
      <c r="F79" s="28"/>
      <c r="G79" s="29" t="s">
        <v>51</v>
      </c>
      <c r="H79" s="30" t="s">
        <v>61</v>
      </c>
      <c r="I79" s="28" t="s">
        <v>62</v>
      </c>
      <c r="J79" s="28" t="s">
        <v>54</v>
      </c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28">
        <f t="shared" si="1"/>
        <v>0</v>
      </c>
      <c r="AN79" s="28"/>
    </row>
    <row r="80" spans="1:40">
      <c r="A80" s="28">
        <v>78</v>
      </c>
      <c r="B80" s="29">
        <v>500104</v>
      </c>
      <c r="C80" s="28" t="s">
        <v>83</v>
      </c>
      <c r="D80" s="28"/>
      <c r="E80" s="28">
        <v>20150713</v>
      </c>
      <c r="F80" s="28"/>
      <c r="G80" s="29" t="s">
        <v>51</v>
      </c>
      <c r="H80" s="30" t="s">
        <v>61</v>
      </c>
      <c r="I80" s="28" t="s">
        <v>62</v>
      </c>
      <c r="J80" s="28" t="s">
        <v>54</v>
      </c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28">
        <f t="shared" si="1"/>
        <v>0</v>
      </c>
      <c r="AN80" s="28"/>
    </row>
    <row r="81" spans="1:40">
      <c r="A81" s="28">
        <v>79</v>
      </c>
      <c r="B81" s="29">
        <v>500122</v>
      </c>
      <c r="C81" s="28" t="s">
        <v>86</v>
      </c>
      <c r="D81" s="28"/>
      <c r="E81" s="28">
        <v>20150727</v>
      </c>
      <c r="F81" s="28"/>
      <c r="G81" s="29" t="s">
        <v>51</v>
      </c>
      <c r="H81" s="30" t="s">
        <v>61</v>
      </c>
      <c r="I81" s="28" t="s">
        <v>62</v>
      </c>
      <c r="J81" s="28" t="s">
        <v>54</v>
      </c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28">
        <f t="shared" si="1"/>
        <v>0</v>
      </c>
      <c r="AN81" s="28"/>
    </row>
    <row r="82" spans="1:40">
      <c r="A82" s="28">
        <v>80</v>
      </c>
      <c r="B82" s="29">
        <v>500191</v>
      </c>
      <c r="C82" s="28" t="s">
        <v>92</v>
      </c>
      <c r="D82" s="28"/>
      <c r="E82" s="28">
        <v>20151105</v>
      </c>
      <c r="F82" s="28"/>
      <c r="G82" s="29" t="s">
        <v>51</v>
      </c>
      <c r="H82" s="30" t="s">
        <v>61</v>
      </c>
      <c r="I82" s="28" t="s">
        <v>62</v>
      </c>
      <c r="J82" s="28" t="s">
        <v>54</v>
      </c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28">
        <f t="shared" si="1"/>
        <v>0</v>
      </c>
      <c r="AN82" s="28"/>
    </row>
    <row r="83" spans="1:40">
      <c r="A83" s="28">
        <v>81</v>
      </c>
      <c r="B83" s="29">
        <v>500216</v>
      </c>
      <c r="C83" s="28" t="s">
        <v>99</v>
      </c>
      <c r="D83" s="28"/>
      <c r="E83" s="28">
        <v>20151203</v>
      </c>
      <c r="F83" s="28"/>
      <c r="G83" s="29" t="s">
        <v>51</v>
      </c>
      <c r="H83" s="30" t="s">
        <v>61</v>
      </c>
      <c r="I83" s="28" t="s">
        <v>62</v>
      </c>
      <c r="J83" s="28" t="s">
        <v>54</v>
      </c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28">
        <f t="shared" si="1"/>
        <v>0</v>
      </c>
      <c r="AN83" s="28"/>
    </row>
    <row r="84" spans="1:40">
      <c r="A84" s="28">
        <v>82</v>
      </c>
      <c r="B84" s="29">
        <v>500228</v>
      </c>
      <c r="C84" s="28" t="s">
        <v>101</v>
      </c>
      <c r="D84" s="28"/>
      <c r="E84" s="28">
        <v>20151215</v>
      </c>
      <c r="F84" s="28"/>
      <c r="G84" s="29" t="s">
        <v>51</v>
      </c>
      <c r="H84" s="30" t="s">
        <v>61</v>
      </c>
      <c r="I84" s="28" t="s">
        <v>62</v>
      </c>
      <c r="J84" s="28" t="s">
        <v>54</v>
      </c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28">
        <f t="shared" si="1"/>
        <v>0</v>
      </c>
      <c r="AN84" s="28"/>
    </row>
    <row r="85" spans="1:40">
      <c r="A85" s="28">
        <v>83</v>
      </c>
      <c r="B85" s="29">
        <v>500343</v>
      </c>
      <c r="C85" s="28" t="s">
        <v>119</v>
      </c>
      <c r="D85" s="28"/>
      <c r="E85" s="28">
        <v>20160705</v>
      </c>
      <c r="F85" s="28"/>
      <c r="G85" s="29" t="s">
        <v>51</v>
      </c>
      <c r="H85" s="30" t="s">
        <v>61</v>
      </c>
      <c r="I85" s="28" t="s">
        <v>62</v>
      </c>
      <c r="J85" s="28" t="s">
        <v>54</v>
      </c>
      <c r="K85" s="47"/>
      <c r="L85" s="47"/>
      <c r="M85" s="47"/>
      <c r="N85" s="47">
        <v>1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28">
        <f t="shared" si="1"/>
        <v>1</v>
      </c>
      <c r="AN85" s="28"/>
    </row>
    <row r="86" spans="1:40">
      <c r="A86" s="28">
        <v>84</v>
      </c>
      <c r="B86" s="29">
        <v>500377</v>
      </c>
      <c r="C86" s="28" t="s">
        <v>126</v>
      </c>
      <c r="D86" s="28"/>
      <c r="E86" s="28">
        <v>20160920</v>
      </c>
      <c r="F86" s="28"/>
      <c r="G86" s="29" t="s">
        <v>51</v>
      </c>
      <c r="H86" s="30" t="s">
        <v>61</v>
      </c>
      <c r="I86" s="28" t="s">
        <v>62</v>
      </c>
      <c r="J86" s="28" t="s">
        <v>54</v>
      </c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28">
        <f t="shared" si="1"/>
        <v>0</v>
      </c>
      <c r="AN86" s="28"/>
    </row>
    <row r="87" spans="1:40">
      <c r="A87" s="28">
        <v>85</v>
      </c>
      <c r="B87" s="29">
        <v>500404</v>
      </c>
      <c r="C87" s="28" t="s">
        <v>134</v>
      </c>
      <c r="D87" s="28"/>
      <c r="E87" s="28">
        <v>20161019</v>
      </c>
      <c r="F87" s="28"/>
      <c r="G87" s="29" t="s">
        <v>51</v>
      </c>
      <c r="H87" s="30" t="s">
        <v>61</v>
      </c>
      <c r="I87" s="28" t="s">
        <v>62</v>
      </c>
      <c r="J87" s="28" t="s">
        <v>54</v>
      </c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28">
        <f t="shared" si="1"/>
        <v>0</v>
      </c>
      <c r="AN87" s="28"/>
    </row>
    <row r="88" spans="1:40">
      <c r="A88" s="28">
        <v>86</v>
      </c>
      <c r="B88" s="29">
        <v>500432</v>
      </c>
      <c r="C88" s="28" t="s">
        <v>137</v>
      </c>
      <c r="D88" s="28"/>
      <c r="E88" s="28">
        <v>20161208</v>
      </c>
      <c r="F88" s="28"/>
      <c r="G88" s="29" t="s">
        <v>51</v>
      </c>
      <c r="H88" s="30" t="s">
        <v>61</v>
      </c>
      <c r="I88" s="28" t="s">
        <v>62</v>
      </c>
      <c r="J88" s="28" t="s">
        <v>54</v>
      </c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28">
        <f t="shared" si="1"/>
        <v>0</v>
      </c>
      <c r="AN88" s="28"/>
    </row>
    <row r="89" spans="1:40">
      <c r="A89" s="28">
        <v>87</v>
      </c>
      <c r="B89" s="29">
        <v>500444</v>
      </c>
      <c r="C89" s="28" t="s">
        <v>140</v>
      </c>
      <c r="D89" s="28"/>
      <c r="E89" s="28">
        <v>20170105</v>
      </c>
      <c r="F89" s="28"/>
      <c r="G89" s="29" t="s">
        <v>51</v>
      </c>
      <c r="H89" s="30" t="s">
        <v>61</v>
      </c>
      <c r="I89" s="28" t="s">
        <v>62</v>
      </c>
      <c r="J89" s="28" t="s">
        <v>54</v>
      </c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28">
        <f t="shared" si="1"/>
        <v>0</v>
      </c>
      <c r="AN89" s="28"/>
    </row>
    <row r="90" spans="1:40">
      <c r="A90" s="28">
        <v>88</v>
      </c>
      <c r="B90" s="29">
        <v>500451</v>
      </c>
      <c r="C90" s="28" t="s">
        <v>141</v>
      </c>
      <c r="D90" s="28"/>
      <c r="E90" s="28">
        <v>20170110</v>
      </c>
      <c r="F90" s="28"/>
      <c r="G90" s="29" t="s">
        <v>51</v>
      </c>
      <c r="H90" s="30" t="s">
        <v>61</v>
      </c>
      <c r="I90" s="28" t="s">
        <v>62</v>
      </c>
      <c r="J90" s="28" t="s">
        <v>54</v>
      </c>
      <c r="K90" s="47"/>
      <c r="L90" s="47"/>
      <c r="M90" s="47"/>
      <c r="N90" s="47"/>
      <c r="O90" s="47"/>
      <c r="P90" s="47"/>
      <c r="Q90" s="47">
        <v>1</v>
      </c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28">
        <f t="shared" si="1"/>
        <v>1</v>
      </c>
      <c r="AN90" s="28"/>
    </row>
    <row r="91" spans="1:40">
      <c r="A91" s="28">
        <v>89</v>
      </c>
      <c r="B91" s="29">
        <v>500514</v>
      </c>
      <c r="C91" s="28" t="s">
        <v>148</v>
      </c>
      <c r="D91" s="28"/>
      <c r="E91" s="28">
        <v>20170321</v>
      </c>
      <c r="F91" s="28"/>
      <c r="G91" s="29" t="s">
        <v>51</v>
      </c>
      <c r="H91" s="30" t="s">
        <v>61</v>
      </c>
      <c r="I91" s="28" t="s">
        <v>62</v>
      </c>
      <c r="J91" s="28" t="s">
        <v>54</v>
      </c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28">
        <f t="shared" si="1"/>
        <v>0</v>
      </c>
      <c r="AN91" s="28"/>
    </row>
    <row r="92" spans="1:40">
      <c r="A92" s="28">
        <v>90</v>
      </c>
      <c r="B92" s="29">
        <v>500580</v>
      </c>
      <c r="C92" s="28" t="s">
        <v>153</v>
      </c>
      <c r="D92" s="28"/>
      <c r="E92" s="28">
        <v>20170725</v>
      </c>
      <c r="F92" s="28"/>
      <c r="G92" s="29" t="s">
        <v>51</v>
      </c>
      <c r="H92" s="30" t="s">
        <v>61</v>
      </c>
      <c r="I92" s="28" t="s">
        <v>62</v>
      </c>
      <c r="J92" s="28" t="s">
        <v>58</v>
      </c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>
        <v>1</v>
      </c>
      <c r="AL92" s="47"/>
      <c r="AM92" s="28">
        <f t="shared" si="1"/>
        <v>1</v>
      </c>
      <c r="AN92" s="28"/>
    </row>
    <row r="93" spans="1:40">
      <c r="A93" s="28">
        <v>91</v>
      </c>
      <c r="B93" s="29">
        <v>500717</v>
      </c>
      <c r="C93" s="28" t="s">
        <v>110</v>
      </c>
      <c r="D93" s="28"/>
      <c r="E93" s="28">
        <v>20180328</v>
      </c>
      <c r="F93" s="28"/>
      <c r="G93" s="29" t="s">
        <v>51</v>
      </c>
      <c r="H93" s="30" t="s">
        <v>61</v>
      </c>
      <c r="I93" s="28" t="s">
        <v>62</v>
      </c>
      <c r="J93" s="28" t="s">
        <v>54</v>
      </c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28">
        <f t="shared" si="1"/>
        <v>0</v>
      </c>
      <c r="AN93" s="28"/>
    </row>
    <row r="94" spans="1:40">
      <c r="A94" s="28">
        <v>92</v>
      </c>
      <c r="B94" s="29">
        <v>500831</v>
      </c>
      <c r="C94" s="28" t="s">
        <v>175</v>
      </c>
      <c r="D94" s="28"/>
      <c r="E94" s="28">
        <v>20190108</v>
      </c>
      <c r="F94" s="28"/>
      <c r="G94" s="29" t="s">
        <v>51</v>
      </c>
      <c r="H94" s="30" t="s">
        <v>61</v>
      </c>
      <c r="I94" s="28" t="s">
        <v>62</v>
      </c>
      <c r="J94" s="28" t="s">
        <v>58</v>
      </c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>
        <v>1</v>
      </c>
      <c r="AF94" s="47"/>
      <c r="AG94" s="47"/>
      <c r="AH94" s="47"/>
      <c r="AI94" s="47"/>
      <c r="AJ94" s="47"/>
      <c r="AK94" s="47"/>
      <c r="AL94" s="47"/>
      <c r="AM94" s="28">
        <f t="shared" si="1"/>
        <v>1</v>
      </c>
      <c r="AN94" s="28"/>
    </row>
    <row r="95" spans="1:40">
      <c r="A95" s="28">
        <v>93</v>
      </c>
      <c r="B95" s="29">
        <v>500840</v>
      </c>
      <c r="C95" s="28" t="s">
        <v>176</v>
      </c>
      <c r="D95" s="28"/>
      <c r="E95" s="28">
        <v>20190205</v>
      </c>
      <c r="F95" s="28"/>
      <c r="G95" s="29" t="s">
        <v>51</v>
      </c>
      <c r="H95" s="30" t="s">
        <v>61</v>
      </c>
      <c r="I95" s="28" t="s">
        <v>62</v>
      </c>
      <c r="J95" s="28" t="s">
        <v>58</v>
      </c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28">
        <f t="shared" si="1"/>
        <v>0</v>
      </c>
      <c r="AN95" s="28"/>
    </row>
    <row r="96" spans="1:40">
      <c r="A96" s="28">
        <v>94</v>
      </c>
      <c r="B96" s="29">
        <v>500845</v>
      </c>
      <c r="C96" s="28" t="s">
        <v>178</v>
      </c>
      <c r="D96" s="28"/>
      <c r="E96" s="28">
        <v>20190221</v>
      </c>
      <c r="F96" s="28"/>
      <c r="G96" s="29" t="s">
        <v>51</v>
      </c>
      <c r="H96" s="30" t="s">
        <v>61</v>
      </c>
      <c r="I96" s="28" t="s">
        <v>62</v>
      </c>
      <c r="J96" s="28" t="s">
        <v>54</v>
      </c>
      <c r="K96" s="47"/>
      <c r="L96" s="47"/>
      <c r="M96" s="47"/>
      <c r="N96" s="47"/>
      <c r="O96" s="47"/>
      <c r="P96" s="47"/>
      <c r="Q96" s="47">
        <v>1</v>
      </c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28">
        <f t="shared" si="1"/>
        <v>1</v>
      </c>
      <c r="AN96" s="28"/>
    </row>
    <row r="97" spans="1:40">
      <c r="A97" s="28">
        <v>95</v>
      </c>
      <c r="B97" s="29">
        <v>500922</v>
      </c>
      <c r="C97" s="28" t="s">
        <v>179</v>
      </c>
      <c r="D97" s="28"/>
      <c r="E97" s="28">
        <v>20191001</v>
      </c>
      <c r="F97" s="28"/>
      <c r="G97" s="29" t="s">
        <v>51</v>
      </c>
      <c r="H97" s="30" t="s">
        <v>61</v>
      </c>
      <c r="I97" s="28" t="s">
        <v>62</v>
      </c>
      <c r="J97" s="28" t="s">
        <v>58</v>
      </c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28">
        <f t="shared" si="1"/>
        <v>0</v>
      </c>
      <c r="AN97" s="28"/>
    </row>
    <row r="98" spans="1:40">
      <c r="A98" s="28">
        <v>96</v>
      </c>
      <c r="B98" s="29">
        <v>500924</v>
      </c>
      <c r="C98" s="28" t="s">
        <v>180</v>
      </c>
      <c r="D98" s="28"/>
      <c r="E98" s="28">
        <v>20191022</v>
      </c>
      <c r="F98" s="28"/>
      <c r="G98" s="29" t="s">
        <v>51</v>
      </c>
      <c r="H98" s="30" t="s">
        <v>61</v>
      </c>
      <c r="I98" s="28" t="s">
        <v>62</v>
      </c>
      <c r="J98" s="28" t="s">
        <v>54</v>
      </c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28">
        <f t="shared" si="1"/>
        <v>0</v>
      </c>
      <c r="AN98" s="28"/>
    </row>
    <row r="99" spans="1:40">
      <c r="A99" s="28">
        <v>97</v>
      </c>
      <c r="B99" s="29">
        <v>500927</v>
      </c>
      <c r="C99" s="28" t="s">
        <v>182</v>
      </c>
      <c r="D99" s="28"/>
      <c r="E99" s="28">
        <v>20191029</v>
      </c>
      <c r="F99" s="28"/>
      <c r="G99" s="29" t="s">
        <v>51</v>
      </c>
      <c r="H99" s="30" t="s">
        <v>61</v>
      </c>
      <c r="I99" s="28" t="s">
        <v>62</v>
      </c>
      <c r="J99" s="28" t="s">
        <v>54</v>
      </c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28">
        <f t="shared" si="1"/>
        <v>0</v>
      </c>
      <c r="AN99" s="28"/>
    </row>
    <row r="100" spans="1:40">
      <c r="A100" s="28">
        <v>98</v>
      </c>
      <c r="B100" s="29">
        <v>500928</v>
      </c>
      <c r="C100" s="28" t="s">
        <v>183</v>
      </c>
      <c r="D100" s="28"/>
      <c r="E100" s="28">
        <v>20191029</v>
      </c>
      <c r="F100" s="28"/>
      <c r="G100" s="29" t="s">
        <v>51</v>
      </c>
      <c r="H100" s="30" t="s">
        <v>61</v>
      </c>
      <c r="I100" s="28" t="s">
        <v>62</v>
      </c>
      <c r="J100" s="28" t="s">
        <v>54</v>
      </c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28">
        <f t="shared" si="1"/>
        <v>0</v>
      </c>
      <c r="AN100" s="28"/>
    </row>
    <row r="101" spans="1:40">
      <c r="A101" s="28">
        <v>99</v>
      </c>
      <c r="B101" s="29">
        <v>500930</v>
      </c>
      <c r="C101" s="28" t="s">
        <v>184</v>
      </c>
      <c r="D101" s="28"/>
      <c r="E101" s="28">
        <v>20191029</v>
      </c>
      <c r="F101" s="28"/>
      <c r="G101" s="29" t="s">
        <v>51</v>
      </c>
      <c r="H101" s="30" t="s">
        <v>61</v>
      </c>
      <c r="I101" s="28" t="s">
        <v>62</v>
      </c>
      <c r="J101" s="28" t="s">
        <v>58</v>
      </c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28">
        <f t="shared" si="1"/>
        <v>0</v>
      </c>
      <c r="AN101" s="28"/>
    </row>
    <row r="102" spans="1:40">
      <c r="A102" s="28">
        <v>100</v>
      </c>
      <c r="B102" s="29">
        <v>500944</v>
      </c>
      <c r="C102" s="28" t="s">
        <v>186</v>
      </c>
      <c r="D102" s="28"/>
      <c r="E102" s="28">
        <v>20191119</v>
      </c>
      <c r="F102" s="28"/>
      <c r="G102" s="29" t="s">
        <v>51</v>
      </c>
      <c r="H102" s="30" t="s">
        <v>61</v>
      </c>
      <c r="I102" s="28" t="s">
        <v>62</v>
      </c>
      <c r="J102" s="28" t="s">
        <v>54</v>
      </c>
      <c r="K102" s="47"/>
      <c r="L102" s="47"/>
      <c r="M102" s="47"/>
      <c r="N102" s="47"/>
      <c r="O102" s="47"/>
      <c r="P102" s="47"/>
      <c r="Q102" s="47">
        <v>1</v>
      </c>
      <c r="R102" s="47"/>
      <c r="S102" s="47"/>
      <c r="T102" s="47"/>
      <c r="U102" s="47">
        <v>1</v>
      </c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28">
        <f t="shared" si="1"/>
        <v>2</v>
      </c>
      <c r="AN102" s="28"/>
    </row>
    <row r="103" spans="1:40">
      <c r="A103" s="28">
        <v>101</v>
      </c>
      <c r="B103" s="29">
        <v>500952</v>
      </c>
      <c r="C103" s="28" t="s">
        <v>187</v>
      </c>
      <c r="D103" s="28"/>
      <c r="E103" s="28">
        <v>20191203</v>
      </c>
      <c r="F103" s="28"/>
      <c r="G103" s="29" t="s">
        <v>51</v>
      </c>
      <c r="H103" s="30" t="s">
        <v>61</v>
      </c>
      <c r="I103" s="28" t="s">
        <v>62</v>
      </c>
      <c r="J103" s="28" t="s">
        <v>58</v>
      </c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28">
        <f t="shared" si="1"/>
        <v>0</v>
      </c>
      <c r="AN103" s="28"/>
    </row>
    <row r="104" spans="1:40">
      <c r="A104" s="28">
        <v>102</v>
      </c>
      <c r="B104" s="29">
        <v>500959</v>
      </c>
      <c r="C104" s="28" t="s">
        <v>188</v>
      </c>
      <c r="D104" s="28"/>
      <c r="E104" s="28">
        <v>20200114</v>
      </c>
      <c r="F104" s="28"/>
      <c r="G104" s="29" t="s">
        <v>51</v>
      </c>
      <c r="H104" s="30" t="s">
        <v>61</v>
      </c>
      <c r="I104" s="28" t="s">
        <v>62</v>
      </c>
      <c r="J104" s="28" t="s">
        <v>54</v>
      </c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28">
        <f t="shared" si="1"/>
        <v>0</v>
      </c>
      <c r="AN104" s="28"/>
    </row>
    <row r="105" spans="1:40">
      <c r="A105" s="28">
        <v>103</v>
      </c>
      <c r="B105" s="29">
        <v>501042</v>
      </c>
      <c r="C105" s="28" t="s">
        <v>193</v>
      </c>
      <c r="D105" s="28"/>
      <c r="E105" s="28">
        <v>20210601</v>
      </c>
      <c r="F105" s="28"/>
      <c r="G105" s="29" t="s">
        <v>51</v>
      </c>
      <c r="H105" s="30" t="s">
        <v>61</v>
      </c>
      <c r="I105" s="28" t="s">
        <v>62</v>
      </c>
      <c r="J105" s="28" t="s">
        <v>58</v>
      </c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28">
        <f t="shared" si="1"/>
        <v>0</v>
      </c>
      <c r="AN105" s="28"/>
    </row>
    <row r="106" spans="1:40">
      <c r="A106" s="28">
        <v>104</v>
      </c>
      <c r="B106" s="29">
        <v>501099</v>
      </c>
      <c r="C106" s="28" t="s">
        <v>200</v>
      </c>
      <c r="D106" s="28"/>
      <c r="E106" s="28">
        <v>20211209</v>
      </c>
      <c r="F106" s="28"/>
      <c r="G106" s="29" t="s">
        <v>51</v>
      </c>
      <c r="H106" s="30" t="s">
        <v>61</v>
      </c>
      <c r="I106" s="28" t="s">
        <v>62</v>
      </c>
      <c r="J106" s="28" t="s">
        <v>58</v>
      </c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28">
        <f t="shared" si="1"/>
        <v>0</v>
      </c>
      <c r="AN106" s="28"/>
    </row>
    <row r="107" spans="1:40">
      <c r="A107" s="28">
        <v>105</v>
      </c>
      <c r="B107" s="29">
        <v>501112</v>
      </c>
      <c r="C107" s="28" t="s">
        <v>202</v>
      </c>
      <c r="D107" s="28"/>
      <c r="E107" s="28">
        <v>20220421</v>
      </c>
      <c r="F107" s="28"/>
      <c r="G107" s="29" t="s">
        <v>51</v>
      </c>
      <c r="H107" s="30" t="s">
        <v>61</v>
      </c>
      <c r="I107" s="28" t="s">
        <v>62</v>
      </c>
      <c r="J107" s="28" t="s">
        <v>54</v>
      </c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28">
        <f t="shared" si="1"/>
        <v>0</v>
      </c>
      <c r="AN107" s="28"/>
    </row>
    <row r="108" spans="1:40">
      <c r="A108" s="28">
        <v>106</v>
      </c>
      <c r="B108" s="29">
        <v>501114</v>
      </c>
      <c r="C108" s="28" t="s">
        <v>203</v>
      </c>
      <c r="D108" s="28"/>
      <c r="E108" s="28">
        <v>20220510</v>
      </c>
      <c r="F108" s="28"/>
      <c r="G108" s="29" t="s">
        <v>51</v>
      </c>
      <c r="H108" s="30" t="s">
        <v>61</v>
      </c>
      <c r="I108" s="28" t="s">
        <v>62</v>
      </c>
      <c r="J108" s="28" t="s">
        <v>54</v>
      </c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28">
        <f t="shared" si="1"/>
        <v>0</v>
      </c>
      <c r="AN108" s="28"/>
    </row>
    <row r="109" spans="1:40">
      <c r="A109" s="28">
        <v>107</v>
      </c>
      <c r="B109" s="29">
        <v>501235</v>
      </c>
      <c r="C109" s="28" t="s">
        <v>222</v>
      </c>
      <c r="D109" s="28"/>
      <c r="E109" s="28">
        <v>20240718</v>
      </c>
      <c r="F109" s="28"/>
      <c r="G109" s="29" t="s">
        <v>51</v>
      </c>
      <c r="H109" s="30" t="s">
        <v>61</v>
      </c>
      <c r="I109" s="28" t="s">
        <v>62</v>
      </c>
      <c r="J109" s="28" t="s">
        <v>58</v>
      </c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>
        <v>1</v>
      </c>
      <c r="AD109" s="47"/>
      <c r="AE109" s="47"/>
      <c r="AF109" s="47"/>
      <c r="AG109" s="47"/>
      <c r="AH109" s="47"/>
      <c r="AI109" s="47"/>
      <c r="AJ109" s="47"/>
      <c r="AK109" s="47"/>
      <c r="AL109" s="47"/>
      <c r="AM109" s="28">
        <f t="shared" si="1"/>
        <v>1</v>
      </c>
      <c r="AN109" s="28"/>
    </row>
    <row r="110" spans="1:40">
      <c r="A110" s="28">
        <v>108</v>
      </c>
      <c r="B110" s="29">
        <v>501271</v>
      </c>
      <c r="C110" s="28" t="s">
        <v>245</v>
      </c>
      <c r="D110" s="28"/>
      <c r="E110" s="28">
        <v>20250328</v>
      </c>
      <c r="F110" s="28"/>
      <c r="G110" s="29" t="s">
        <v>51</v>
      </c>
      <c r="H110" s="30" t="s">
        <v>61</v>
      </c>
      <c r="I110" s="28" t="s">
        <v>62</v>
      </c>
      <c r="J110" s="28" t="s">
        <v>58</v>
      </c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>
        <v>1</v>
      </c>
      <c r="AJ110" s="47"/>
      <c r="AK110" s="47"/>
      <c r="AL110" s="47"/>
      <c r="AM110" s="28">
        <f t="shared" si="1"/>
        <v>1</v>
      </c>
      <c r="AN110" s="28"/>
    </row>
    <row r="111" spans="1:40">
      <c r="A111" s="28">
        <v>109</v>
      </c>
      <c r="B111" s="29">
        <v>501279</v>
      </c>
      <c r="C111" s="28" t="s">
        <v>251</v>
      </c>
      <c r="D111" s="28"/>
      <c r="E111" s="28">
        <v>20250506</v>
      </c>
      <c r="F111" s="28"/>
      <c r="G111" s="29" t="s">
        <v>51</v>
      </c>
      <c r="H111" s="30" t="s">
        <v>61</v>
      </c>
      <c r="I111" s="28" t="s">
        <v>62</v>
      </c>
      <c r="J111" s="28" t="s">
        <v>58</v>
      </c>
      <c r="K111" s="47"/>
      <c r="L111" s="47"/>
      <c r="M111" s="47"/>
      <c r="N111" s="47"/>
      <c r="O111" s="47"/>
      <c r="P111" s="47">
        <v>1</v>
      </c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28">
        <f t="shared" si="1"/>
        <v>1</v>
      </c>
      <c r="AN111" s="28"/>
    </row>
    <row r="112" spans="1:40">
      <c r="A112" s="28">
        <v>110</v>
      </c>
      <c r="B112" s="29">
        <v>501285</v>
      </c>
      <c r="C112" s="28" t="s">
        <v>256</v>
      </c>
      <c r="D112" s="28"/>
      <c r="E112" s="28">
        <v>20250529</v>
      </c>
      <c r="F112" s="28"/>
      <c r="G112" s="29" t="s">
        <v>51</v>
      </c>
      <c r="H112" s="30" t="s">
        <v>61</v>
      </c>
      <c r="I112" s="28" t="s">
        <v>62</v>
      </c>
      <c r="J112" s="28" t="s">
        <v>54</v>
      </c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28">
        <f t="shared" si="1"/>
        <v>0</v>
      </c>
      <c r="AN112" s="28"/>
    </row>
    <row r="113" spans="1:40">
      <c r="A113" s="28">
        <v>111</v>
      </c>
      <c r="B113" s="29">
        <v>501292</v>
      </c>
      <c r="C113" s="28" t="s">
        <v>258</v>
      </c>
      <c r="D113" s="28"/>
      <c r="E113" s="28">
        <v>20250624</v>
      </c>
      <c r="F113" s="28"/>
      <c r="G113" s="29" t="s">
        <v>51</v>
      </c>
      <c r="H113" s="30" t="s">
        <v>61</v>
      </c>
      <c r="I113" s="28" t="s">
        <v>62</v>
      </c>
      <c r="J113" s="28" t="s">
        <v>58</v>
      </c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28">
        <f t="shared" si="1"/>
        <v>0</v>
      </c>
      <c r="AN113" s="28"/>
    </row>
    <row r="114" spans="1:40">
      <c r="A114" s="28">
        <v>112</v>
      </c>
      <c r="B114" s="29">
        <v>501300</v>
      </c>
      <c r="C114" s="28" t="s">
        <v>263</v>
      </c>
      <c r="D114" s="28"/>
      <c r="E114" s="28">
        <v>20251008</v>
      </c>
      <c r="F114" s="28"/>
      <c r="G114" s="29" t="s">
        <v>51</v>
      </c>
      <c r="H114" s="30" t="s">
        <v>61</v>
      </c>
      <c r="I114" s="28" t="s">
        <v>62</v>
      </c>
      <c r="J114" s="28" t="s">
        <v>54</v>
      </c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28">
        <f t="shared" si="1"/>
        <v>0</v>
      </c>
      <c r="AN114" s="28"/>
    </row>
    <row r="115" spans="1:40">
      <c r="A115" s="28">
        <v>113</v>
      </c>
      <c r="B115" s="29">
        <v>501301</v>
      </c>
      <c r="C115" s="28" t="s">
        <v>264</v>
      </c>
      <c r="D115" s="28"/>
      <c r="E115" s="28">
        <v>20251008</v>
      </c>
      <c r="F115" s="28"/>
      <c r="G115" s="29" t="s">
        <v>51</v>
      </c>
      <c r="H115" s="30" t="s">
        <v>61</v>
      </c>
      <c r="I115" s="28" t="s">
        <v>62</v>
      </c>
      <c r="J115" s="28" t="s">
        <v>58</v>
      </c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>
        <v>1</v>
      </c>
      <c r="AF115" s="47"/>
      <c r="AG115" s="47"/>
      <c r="AH115" s="47"/>
      <c r="AI115" s="47"/>
      <c r="AJ115" s="47"/>
      <c r="AK115" s="47"/>
      <c r="AL115" s="47"/>
      <c r="AM115" s="28">
        <f t="shared" si="1"/>
        <v>1</v>
      </c>
      <c r="AN115" s="28"/>
    </row>
    <row r="116" spans="1:40">
      <c r="A116" s="28">
        <v>114</v>
      </c>
      <c r="B116" s="29">
        <v>500242</v>
      </c>
      <c r="C116" s="28" t="s">
        <v>102</v>
      </c>
      <c r="D116" s="28"/>
      <c r="E116" s="28">
        <v>20151229</v>
      </c>
      <c r="F116" s="28"/>
      <c r="G116" s="29" t="s">
        <v>51</v>
      </c>
      <c r="H116" s="30" t="s">
        <v>103</v>
      </c>
      <c r="I116" s="28" t="s">
        <v>104</v>
      </c>
      <c r="J116" s="28" t="s">
        <v>58</v>
      </c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28">
        <f t="shared" si="1"/>
        <v>0</v>
      </c>
      <c r="AN116" s="28"/>
    </row>
    <row r="117" spans="1:40">
      <c r="A117" s="28">
        <v>115</v>
      </c>
      <c r="B117" s="29">
        <v>500298</v>
      </c>
      <c r="C117" s="28" t="s">
        <v>111</v>
      </c>
      <c r="D117" s="28"/>
      <c r="E117" s="28">
        <v>20160503</v>
      </c>
      <c r="F117" s="28"/>
      <c r="G117" s="29" t="s">
        <v>51</v>
      </c>
      <c r="H117" s="30" t="s">
        <v>103</v>
      </c>
      <c r="I117" s="28" t="s">
        <v>104</v>
      </c>
      <c r="J117" s="28" t="s">
        <v>58</v>
      </c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28">
        <f t="shared" si="1"/>
        <v>0</v>
      </c>
      <c r="AN117" s="28"/>
    </row>
    <row r="118" spans="1:40">
      <c r="A118" s="28">
        <v>116</v>
      </c>
      <c r="B118" s="29">
        <v>500389</v>
      </c>
      <c r="C118" s="28" t="s">
        <v>130</v>
      </c>
      <c r="D118" s="28"/>
      <c r="E118" s="28">
        <v>20161007</v>
      </c>
      <c r="F118" s="28"/>
      <c r="G118" s="29" t="s">
        <v>51</v>
      </c>
      <c r="H118" s="30" t="s">
        <v>103</v>
      </c>
      <c r="I118" s="28" t="s">
        <v>104</v>
      </c>
      <c r="J118" s="28" t="s">
        <v>54</v>
      </c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28">
        <f t="shared" si="1"/>
        <v>0</v>
      </c>
      <c r="AN118" s="28"/>
    </row>
    <row r="119" spans="1:40">
      <c r="A119" s="28">
        <v>117</v>
      </c>
      <c r="B119" s="29">
        <v>500689</v>
      </c>
      <c r="C119" s="28" t="s">
        <v>159</v>
      </c>
      <c r="D119" s="28"/>
      <c r="E119" s="28">
        <v>20180220</v>
      </c>
      <c r="F119" s="28"/>
      <c r="G119" s="29" t="s">
        <v>51</v>
      </c>
      <c r="H119" s="30" t="s">
        <v>103</v>
      </c>
      <c r="I119" s="28" t="s">
        <v>104</v>
      </c>
      <c r="J119" s="28" t="s">
        <v>58</v>
      </c>
      <c r="K119" s="47"/>
      <c r="L119" s="47"/>
      <c r="M119" s="47"/>
      <c r="N119" s="47">
        <v>1</v>
      </c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>
        <v>1</v>
      </c>
      <c r="AK119" s="47"/>
      <c r="AL119" s="47"/>
      <c r="AM119" s="28">
        <f t="shared" si="1"/>
        <v>2</v>
      </c>
      <c r="AN119" s="28"/>
    </row>
    <row r="120" spans="1:40">
      <c r="A120" s="28">
        <v>118</v>
      </c>
      <c r="B120" s="29">
        <v>500756</v>
      </c>
      <c r="C120" s="28" t="s">
        <v>164</v>
      </c>
      <c r="D120" s="28"/>
      <c r="E120" s="28">
        <v>20180612</v>
      </c>
      <c r="F120" s="28"/>
      <c r="G120" s="29" t="s">
        <v>51</v>
      </c>
      <c r="H120" s="30" t="s">
        <v>103</v>
      </c>
      <c r="I120" s="28" t="s">
        <v>104</v>
      </c>
      <c r="J120" s="28" t="s">
        <v>58</v>
      </c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28">
        <f t="shared" si="1"/>
        <v>0</v>
      </c>
      <c r="AN120" s="28"/>
    </row>
    <row r="121" spans="1:40">
      <c r="A121" s="28">
        <v>119</v>
      </c>
      <c r="B121" s="29">
        <v>501073</v>
      </c>
      <c r="C121" s="28" t="s">
        <v>195</v>
      </c>
      <c r="D121" s="28"/>
      <c r="E121" s="28">
        <v>20211026</v>
      </c>
      <c r="F121" s="28"/>
      <c r="G121" s="29" t="s">
        <v>51</v>
      </c>
      <c r="H121" s="30" t="s">
        <v>103</v>
      </c>
      <c r="I121" s="28" t="s">
        <v>104</v>
      </c>
      <c r="J121" s="28" t="s">
        <v>54</v>
      </c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28">
        <f t="shared" si="1"/>
        <v>0</v>
      </c>
      <c r="AN121" s="28"/>
    </row>
    <row r="122" spans="1:40">
      <c r="A122" s="28">
        <v>120</v>
      </c>
      <c r="B122" s="29">
        <v>501252</v>
      </c>
      <c r="C122" s="28" t="s">
        <v>234</v>
      </c>
      <c r="D122" s="28"/>
      <c r="E122" s="28">
        <v>20241022</v>
      </c>
      <c r="F122" s="28"/>
      <c r="G122" s="29" t="s">
        <v>51</v>
      </c>
      <c r="H122" s="30" t="s">
        <v>103</v>
      </c>
      <c r="I122" s="28" t="s">
        <v>104</v>
      </c>
      <c r="J122" s="28" t="s">
        <v>58</v>
      </c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28">
        <f t="shared" si="1"/>
        <v>0</v>
      </c>
      <c r="AN122" s="28"/>
    </row>
    <row r="123" spans="1:40">
      <c r="A123" s="28">
        <v>121</v>
      </c>
      <c r="B123" s="29">
        <v>500349</v>
      </c>
      <c r="C123" s="28" t="s">
        <v>120</v>
      </c>
      <c r="D123" s="28"/>
      <c r="E123" s="28">
        <v>20160728</v>
      </c>
      <c r="F123" s="28"/>
      <c r="G123" s="29" t="s">
        <v>51</v>
      </c>
      <c r="H123" s="30" t="s">
        <v>121</v>
      </c>
      <c r="I123" s="28" t="s">
        <v>122</v>
      </c>
      <c r="J123" s="28" t="s">
        <v>54</v>
      </c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28">
        <f t="shared" si="1"/>
        <v>0</v>
      </c>
      <c r="AN123" s="28"/>
    </row>
    <row r="124" spans="1:40">
      <c r="A124" s="28">
        <v>122</v>
      </c>
      <c r="B124" s="29">
        <v>500800</v>
      </c>
      <c r="C124" s="28" t="s">
        <v>172</v>
      </c>
      <c r="D124" s="28"/>
      <c r="E124" s="28">
        <v>20181009</v>
      </c>
      <c r="F124" s="28"/>
      <c r="G124" s="29" t="s">
        <v>51</v>
      </c>
      <c r="H124" s="30" t="s">
        <v>121</v>
      </c>
      <c r="I124" s="28" t="s">
        <v>122</v>
      </c>
      <c r="J124" s="28" t="s">
        <v>58</v>
      </c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28">
        <f t="shared" si="1"/>
        <v>0</v>
      </c>
      <c r="AN124" s="28"/>
    </row>
    <row r="125" spans="1:40">
      <c r="A125" s="28">
        <v>123</v>
      </c>
      <c r="B125" s="29">
        <v>501228</v>
      </c>
      <c r="C125" s="28" t="s">
        <v>219</v>
      </c>
      <c r="D125" s="28"/>
      <c r="E125" s="28">
        <v>20240702</v>
      </c>
      <c r="F125" s="28"/>
      <c r="G125" s="29" t="s">
        <v>51</v>
      </c>
      <c r="H125" s="30" t="s">
        <v>121</v>
      </c>
      <c r="I125" s="28" t="s">
        <v>122</v>
      </c>
      <c r="J125" s="28" t="s">
        <v>54</v>
      </c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28">
        <f t="shared" si="1"/>
        <v>0</v>
      </c>
      <c r="AN125" s="28"/>
    </row>
    <row r="126" spans="1:40">
      <c r="A126" s="28">
        <v>124</v>
      </c>
      <c r="B126" s="29">
        <v>501239</v>
      </c>
      <c r="C126" s="28" t="s">
        <v>224</v>
      </c>
      <c r="D126" s="28"/>
      <c r="E126" s="28">
        <v>20240827</v>
      </c>
      <c r="F126" s="28"/>
      <c r="G126" s="29" t="s">
        <v>51</v>
      </c>
      <c r="H126" s="30" t="s">
        <v>121</v>
      </c>
      <c r="I126" s="28" t="s">
        <v>122</v>
      </c>
      <c r="J126" s="28" t="s">
        <v>54</v>
      </c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28">
        <f t="shared" si="1"/>
        <v>0</v>
      </c>
      <c r="AN126" s="28"/>
    </row>
    <row r="127" spans="1:40">
      <c r="A127" s="28">
        <v>125</v>
      </c>
      <c r="B127" s="29">
        <v>501273</v>
      </c>
      <c r="C127" s="28" t="s">
        <v>246</v>
      </c>
      <c r="D127" s="28"/>
      <c r="E127" s="28">
        <v>20250423</v>
      </c>
      <c r="F127" s="28"/>
      <c r="G127" s="29" t="s">
        <v>51</v>
      </c>
      <c r="H127" s="30" t="s">
        <v>121</v>
      </c>
      <c r="I127" s="28" t="s">
        <v>122</v>
      </c>
      <c r="J127" s="28" t="s">
        <v>54</v>
      </c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28">
        <f t="shared" si="1"/>
        <v>0</v>
      </c>
      <c r="AN127" s="28"/>
    </row>
    <row r="128" spans="1:40">
      <c r="A128" s="28">
        <v>126</v>
      </c>
      <c r="B128" s="29">
        <v>500314</v>
      </c>
      <c r="C128" s="28" t="s">
        <v>113</v>
      </c>
      <c r="D128" s="28"/>
      <c r="E128" s="28">
        <v>20160526</v>
      </c>
      <c r="F128" s="28"/>
      <c r="G128" s="29" t="s">
        <v>51</v>
      </c>
      <c r="H128" s="30" t="s">
        <v>114</v>
      </c>
      <c r="I128" s="28" t="s">
        <v>115</v>
      </c>
      <c r="J128" s="28" t="s">
        <v>58</v>
      </c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28">
        <f t="shared" si="1"/>
        <v>0</v>
      </c>
      <c r="AN128" s="28"/>
    </row>
    <row r="129" spans="1:40">
      <c r="A129" s="28">
        <v>127</v>
      </c>
      <c r="B129" s="29">
        <v>500316</v>
      </c>
      <c r="C129" s="28" t="s">
        <v>116</v>
      </c>
      <c r="D129" s="28"/>
      <c r="E129" s="28">
        <v>20160602</v>
      </c>
      <c r="F129" s="28"/>
      <c r="G129" s="29" t="s">
        <v>51</v>
      </c>
      <c r="H129" s="30" t="s">
        <v>114</v>
      </c>
      <c r="I129" s="28" t="s">
        <v>115</v>
      </c>
      <c r="J129" s="28" t="s">
        <v>58</v>
      </c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28">
        <f t="shared" si="1"/>
        <v>0</v>
      </c>
      <c r="AN129" s="28"/>
    </row>
    <row r="130" spans="1:40">
      <c r="A130" s="28">
        <v>128</v>
      </c>
      <c r="B130" s="29">
        <v>500317</v>
      </c>
      <c r="C130" s="28" t="s">
        <v>117</v>
      </c>
      <c r="D130" s="28"/>
      <c r="E130" s="28">
        <v>20160602</v>
      </c>
      <c r="F130" s="28"/>
      <c r="G130" s="29" t="s">
        <v>51</v>
      </c>
      <c r="H130" s="30" t="s">
        <v>114</v>
      </c>
      <c r="I130" s="28" t="s">
        <v>115</v>
      </c>
      <c r="J130" s="28" t="s">
        <v>58</v>
      </c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28">
        <f t="shared" si="1"/>
        <v>0</v>
      </c>
      <c r="AN130" s="28"/>
    </row>
    <row r="131" spans="1:40">
      <c r="A131" s="28">
        <v>129</v>
      </c>
      <c r="B131" s="29">
        <v>500694</v>
      </c>
      <c r="C131" s="28" t="s">
        <v>160</v>
      </c>
      <c r="D131" s="28"/>
      <c r="E131" s="28">
        <v>20180227</v>
      </c>
      <c r="F131" s="28"/>
      <c r="G131" s="29" t="s">
        <v>51</v>
      </c>
      <c r="H131" s="30" t="s">
        <v>114</v>
      </c>
      <c r="I131" s="28" t="s">
        <v>115</v>
      </c>
      <c r="J131" s="28" t="s">
        <v>58</v>
      </c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>
        <v>1</v>
      </c>
      <c r="AF131" s="47"/>
      <c r="AG131" s="47"/>
      <c r="AH131" s="47"/>
      <c r="AI131" s="47"/>
      <c r="AJ131" s="47"/>
      <c r="AK131" s="47"/>
      <c r="AL131" s="47"/>
      <c r="AM131" s="28">
        <f t="shared" ref="AM131:AM194" si="2">SUM(K131:AL131)</f>
        <v>1</v>
      </c>
      <c r="AN131" s="28"/>
    </row>
    <row r="132" spans="1:40">
      <c r="A132" s="28">
        <v>130</v>
      </c>
      <c r="B132" s="29">
        <v>500939</v>
      </c>
      <c r="C132" s="28" t="s">
        <v>185</v>
      </c>
      <c r="D132" s="28"/>
      <c r="E132" s="28">
        <v>20191115</v>
      </c>
      <c r="F132" s="28"/>
      <c r="G132" s="29" t="s">
        <v>51</v>
      </c>
      <c r="H132" s="30" t="s">
        <v>114</v>
      </c>
      <c r="I132" s="28" t="s">
        <v>115</v>
      </c>
      <c r="J132" s="28" t="s">
        <v>58</v>
      </c>
      <c r="K132" s="47"/>
      <c r="L132" s="47"/>
      <c r="M132" s="47">
        <v>1</v>
      </c>
      <c r="N132" s="47"/>
      <c r="O132" s="47">
        <v>1</v>
      </c>
      <c r="P132" s="47"/>
      <c r="Q132" s="47">
        <v>1</v>
      </c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>
        <v>1</v>
      </c>
      <c r="AE132" s="47"/>
      <c r="AF132" s="47">
        <v>1</v>
      </c>
      <c r="AG132" s="47"/>
      <c r="AH132" s="47"/>
      <c r="AI132" s="47"/>
      <c r="AJ132" s="47"/>
      <c r="AK132" s="47"/>
      <c r="AL132" s="47">
        <v>1</v>
      </c>
      <c r="AM132" s="28">
        <f t="shared" si="2"/>
        <v>6</v>
      </c>
      <c r="AN132" s="28"/>
    </row>
    <row r="133" spans="1:40">
      <c r="A133" s="28">
        <v>131</v>
      </c>
      <c r="B133" s="29">
        <v>500978</v>
      </c>
      <c r="C133" s="28" t="s">
        <v>189</v>
      </c>
      <c r="D133" s="28"/>
      <c r="E133" s="28">
        <v>20200303</v>
      </c>
      <c r="F133" s="28"/>
      <c r="G133" s="29" t="s">
        <v>51</v>
      </c>
      <c r="H133" s="30" t="s">
        <v>114</v>
      </c>
      <c r="I133" s="28" t="s">
        <v>115</v>
      </c>
      <c r="J133" s="28" t="s">
        <v>58</v>
      </c>
      <c r="K133" s="47"/>
      <c r="L133" s="47"/>
      <c r="M133" s="47">
        <v>1</v>
      </c>
      <c r="N133" s="47"/>
      <c r="O133" s="47"/>
      <c r="P133" s="47"/>
      <c r="Q133" s="47"/>
      <c r="R133" s="47"/>
      <c r="S133" s="47"/>
      <c r="T133" s="47">
        <v>1</v>
      </c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>
        <v>1</v>
      </c>
      <c r="AJ133" s="47"/>
      <c r="AK133" s="47"/>
      <c r="AL133" s="47"/>
      <c r="AM133" s="28">
        <f t="shared" si="2"/>
        <v>3</v>
      </c>
      <c r="AN133" s="28"/>
    </row>
    <row r="134" spans="1:40">
      <c r="A134" s="28">
        <v>132</v>
      </c>
      <c r="B134" s="29">
        <v>501166</v>
      </c>
      <c r="C134" s="28" t="s">
        <v>205</v>
      </c>
      <c r="D134" s="28"/>
      <c r="E134" s="28">
        <v>20221122</v>
      </c>
      <c r="F134" s="28"/>
      <c r="G134" s="29" t="s">
        <v>51</v>
      </c>
      <c r="H134" s="30" t="s">
        <v>114</v>
      </c>
      <c r="I134" s="28" t="s">
        <v>115</v>
      </c>
      <c r="J134" s="28" t="s">
        <v>58</v>
      </c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28">
        <f t="shared" si="2"/>
        <v>0</v>
      </c>
      <c r="AN134" s="28"/>
    </row>
    <row r="135" spans="1:40">
      <c r="A135" s="28">
        <v>133</v>
      </c>
      <c r="B135" s="29">
        <v>501247</v>
      </c>
      <c r="C135" s="28" t="s">
        <v>229</v>
      </c>
      <c r="D135" s="28"/>
      <c r="E135" s="28">
        <v>20240913</v>
      </c>
      <c r="F135" s="28"/>
      <c r="G135" s="29" t="s">
        <v>51</v>
      </c>
      <c r="H135" s="30" t="s">
        <v>114</v>
      </c>
      <c r="I135" s="28" t="s">
        <v>115</v>
      </c>
      <c r="J135" s="28" t="s">
        <v>58</v>
      </c>
      <c r="K135" s="47"/>
      <c r="L135" s="47"/>
      <c r="M135" s="47"/>
      <c r="N135" s="47"/>
      <c r="O135" s="47"/>
      <c r="P135" s="47"/>
      <c r="Q135" s="47"/>
      <c r="R135" s="47"/>
      <c r="S135" s="47"/>
      <c r="T135" s="47">
        <v>1</v>
      </c>
      <c r="U135" s="47">
        <v>1</v>
      </c>
      <c r="V135" s="47"/>
      <c r="W135" s="47"/>
      <c r="X135" s="47"/>
      <c r="Y135" s="47"/>
      <c r="Z135" s="47"/>
      <c r="AA135" s="47"/>
      <c r="AB135" s="47"/>
      <c r="AC135" s="47">
        <v>1</v>
      </c>
      <c r="AD135" s="47"/>
      <c r="AE135" s="47"/>
      <c r="AF135" s="47">
        <v>1</v>
      </c>
      <c r="AG135" s="47">
        <v>1</v>
      </c>
      <c r="AH135" s="47"/>
      <c r="AI135" s="47">
        <v>1</v>
      </c>
      <c r="AJ135" s="47"/>
      <c r="AK135" s="47"/>
      <c r="AL135" s="47">
        <v>1</v>
      </c>
      <c r="AM135" s="28">
        <f t="shared" si="2"/>
        <v>7</v>
      </c>
      <c r="AN135" s="28"/>
    </row>
    <row r="136" spans="1:40">
      <c r="A136" s="28">
        <v>134</v>
      </c>
      <c r="B136" s="29">
        <v>500012</v>
      </c>
      <c r="C136" s="28" t="s">
        <v>64</v>
      </c>
      <c r="D136" s="28"/>
      <c r="E136" s="28">
        <v>20141001</v>
      </c>
      <c r="F136" s="28"/>
      <c r="G136" s="29" t="s">
        <v>51</v>
      </c>
      <c r="H136" s="30" t="s">
        <v>65</v>
      </c>
      <c r="I136" s="28" t="s">
        <v>66</v>
      </c>
      <c r="J136" s="28" t="s">
        <v>54</v>
      </c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28">
        <f t="shared" si="2"/>
        <v>0</v>
      </c>
      <c r="AN136" s="28"/>
    </row>
    <row r="137" spans="1:40">
      <c r="A137" s="28">
        <v>135</v>
      </c>
      <c r="B137" s="29">
        <v>500073</v>
      </c>
      <c r="C137" s="28" t="s">
        <v>80</v>
      </c>
      <c r="D137" s="28"/>
      <c r="E137" s="28">
        <v>20150610</v>
      </c>
      <c r="F137" s="28"/>
      <c r="G137" s="29" t="s">
        <v>51</v>
      </c>
      <c r="H137" s="30" t="s">
        <v>65</v>
      </c>
      <c r="I137" s="28" t="s">
        <v>66</v>
      </c>
      <c r="J137" s="28" t="s">
        <v>54</v>
      </c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28">
        <f t="shared" si="2"/>
        <v>0</v>
      </c>
      <c r="AN137" s="28"/>
    </row>
    <row r="138" spans="1:40">
      <c r="A138" s="28">
        <v>136</v>
      </c>
      <c r="B138" s="29">
        <v>500192</v>
      </c>
      <c r="C138" s="28" t="s">
        <v>93</v>
      </c>
      <c r="D138" s="28"/>
      <c r="E138" s="28">
        <v>20151105</v>
      </c>
      <c r="F138" s="28"/>
      <c r="G138" s="29" t="s">
        <v>51</v>
      </c>
      <c r="H138" s="30" t="s">
        <v>65</v>
      </c>
      <c r="I138" s="28" t="s">
        <v>66</v>
      </c>
      <c r="J138" s="28" t="s">
        <v>54</v>
      </c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28">
        <f t="shared" si="2"/>
        <v>0</v>
      </c>
      <c r="AN138" s="28"/>
    </row>
    <row r="139" spans="1:40">
      <c r="A139" s="28">
        <v>137</v>
      </c>
      <c r="B139" s="29">
        <v>500331</v>
      </c>
      <c r="C139" s="28" t="s">
        <v>118</v>
      </c>
      <c r="D139" s="28"/>
      <c r="E139" s="28">
        <v>20160627</v>
      </c>
      <c r="F139" s="28"/>
      <c r="G139" s="29" t="s">
        <v>51</v>
      </c>
      <c r="H139" s="30" t="s">
        <v>65</v>
      </c>
      <c r="I139" s="28" t="s">
        <v>66</v>
      </c>
      <c r="J139" s="28" t="s">
        <v>54</v>
      </c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28">
        <f t="shared" si="2"/>
        <v>0</v>
      </c>
      <c r="AN139" s="28"/>
    </row>
    <row r="140" spans="1:40">
      <c r="A140" s="28">
        <v>138</v>
      </c>
      <c r="B140" s="29">
        <v>500529</v>
      </c>
      <c r="C140" s="28" t="s">
        <v>149</v>
      </c>
      <c r="D140" s="28"/>
      <c r="E140" s="28">
        <v>20170502</v>
      </c>
      <c r="F140" s="28"/>
      <c r="G140" s="29" t="s">
        <v>51</v>
      </c>
      <c r="H140" s="30" t="s">
        <v>65</v>
      </c>
      <c r="I140" s="28" t="s">
        <v>66</v>
      </c>
      <c r="J140" s="28" t="s">
        <v>54</v>
      </c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28">
        <f t="shared" si="2"/>
        <v>0</v>
      </c>
      <c r="AN140" s="28"/>
    </row>
    <row r="141" spans="1:40">
      <c r="A141" s="28">
        <v>139</v>
      </c>
      <c r="B141" s="29">
        <v>500716</v>
      </c>
      <c r="C141" s="28" t="s">
        <v>162</v>
      </c>
      <c r="D141" s="28"/>
      <c r="E141" s="28">
        <v>20180328</v>
      </c>
      <c r="F141" s="28"/>
      <c r="G141" s="29" t="s">
        <v>51</v>
      </c>
      <c r="H141" s="30" t="s">
        <v>65</v>
      </c>
      <c r="I141" s="28" t="s">
        <v>66</v>
      </c>
      <c r="J141" s="28" t="s">
        <v>54</v>
      </c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28">
        <f t="shared" si="2"/>
        <v>0</v>
      </c>
      <c r="AN141" s="28"/>
    </row>
    <row r="142" spans="1:40">
      <c r="A142" s="28">
        <v>140</v>
      </c>
      <c r="B142" s="29">
        <v>500040</v>
      </c>
      <c r="C142" s="28" t="s">
        <v>70</v>
      </c>
      <c r="D142" s="28"/>
      <c r="E142" s="28">
        <v>20150224</v>
      </c>
      <c r="F142" s="28"/>
      <c r="G142" s="29" t="s">
        <v>51</v>
      </c>
      <c r="H142" s="30" t="s">
        <v>71</v>
      </c>
      <c r="I142" s="28" t="s">
        <v>72</v>
      </c>
      <c r="J142" s="28" t="s">
        <v>54</v>
      </c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28">
        <f t="shared" si="2"/>
        <v>0</v>
      </c>
      <c r="AN142" s="28"/>
    </row>
    <row r="143" spans="1:40">
      <c r="A143" s="28">
        <v>141</v>
      </c>
      <c r="B143" s="29">
        <v>500076</v>
      </c>
      <c r="C143" s="28" t="s">
        <v>81</v>
      </c>
      <c r="D143" s="28"/>
      <c r="E143" s="28">
        <v>20150615</v>
      </c>
      <c r="F143" s="28"/>
      <c r="G143" s="29" t="s">
        <v>51</v>
      </c>
      <c r="H143" s="30" t="s">
        <v>71</v>
      </c>
      <c r="I143" s="28" t="s">
        <v>72</v>
      </c>
      <c r="J143" s="28" t="s">
        <v>54</v>
      </c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28">
        <f t="shared" si="2"/>
        <v>0</v>
      </c>
      <c r="AN143" s="28"/>
    </row>
    <row r="144" spans="1:40">
      <c r="A144" s="28">
        <v>142</v>
      </c>
      <c r="B144" s="29">
        <v>500115</v>
      </c>
      <c r="C144" s="28" t="s">
        <v>85</v>
      </c>
      <c r="D144" s="28"/>
      <c r="E144" s="28">
        <v>20150724</v>
      </c>
      <c r="F144" s="28"/>
      <c r="G144" s="29" t="s">
        <v>51</v>
      </c>
      <c r="H144" s="30" t="s">
        <v>71</v>
      </c>
      <c r="I144" s="28" t="s">
        <v>72</v>
      </c>
      <c r="J144" s="28" t="s">
        <v>54</v>
      </c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28">
        <f t="shared" si="2"/>
        <v>0</v>
      </c>
      <c r="AN144" s="28"/>
    </row>
    <row r="145" spans="1:40">
      <c r="A145" s="28">
        <v>143</v>
      </c>
      <c r="B145" s="29">
        <v>500156</v>
      </c>
      <c r="C145" s="28" t="s">
        <v>88</v>
      </c>
      <c r="D145" s="28"/>
      <c r="E145" s="28">
        <v>20150901</v>
      </c>
      <c r="F145" s="28"/>
      <c r="G145" s="29" t="s">
        <v>51</v>
      </c>
      <c r="H145" s="30" t="s">
        <v>71</v>
      </c>
      <c r="I145" s="28" t="s">
        <v>72</v>
      </c>
      <c r="J145" s="28" t="s">
        <v>54</v>
      </c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28">
        <f t="shared" si="2"/>
        <v>0</v>
      </c>
      <c r="AN145" s="28"/>
    </row>
    <row r="146" spans="1:40">
      <c r="A146" s="28">
        <v>144</v>
      </c>
      <c r="B146" s="29">
        <v>500538</v>
      </c>
      <c r="C146" s="28" t="s">
        <v>151</v>
      </c>
      <c r="D146" s="28"/>
      <c r="E146" s="28">
        <v>20170523</v>
      </c>
      <c r="F146" s="28"/>
      <c r="G146" s="29" t="s">
        <v>51</v>
      </c>
      <c r="H146" s="30" t="s">
        <v>71</v>
      </c>
      <c r="I146" s="28" t="s">
        <v>72</v>
      </c>
      <c r="J146" s="28" t="s">
        <v>58</v>
      </c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28">
        <f t="shared" si="2"/>
        <v>0</v>
      </c>
      <c r="AN146" s="28"/>
    </row>
    <row r="147" spans="1:40">
      <c r="A147" s="28">
        <v>145</v>
      </c>
      <c r="B147" s="29">
        <v>500784</v>
      </c>
      <c r="C147" s="28" t="s">
        <v>170</v>
      </c>
      <c r="D147" s="28"/>
      <c r="E147" s="28">
        <v>20180823</v>
      </c>
      <c r="F147" s="28"/>
      <c r="G147" s="29" t="s">
        <v>51</v>
      </c>
      <c r="H147" s="30" t="s">
        <v>71</v>
      </c>
      <c r="I147" s="28" t="s">
        <v>72</v>
      </c>
      <c r="J147" s="28" t="s">
        <v>54</v>
      </c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28">
        <f t="shared" si="2"/>
        <v>0</v>
      </c>
      <c r="AN147" s="28"/>
    </row>
    <row r="148" spans="1:40">
      <c r="A148" s="28">
        <v>146</v>
      </c>
      <c r="B148" s="29">
        <v>501087</v>
      </c>
      <c r="C148" s="28" t="s">
        <v>197</v>
      </c>
      <c r="D148" s="28"/>
      <c r="E148" s="28">
        <v>20211123</v>
      </c>
      <c r="F148" s="28"/>
      <c r="G148" s="29" t="s">
        <v>51</v>
      </c>
      <c r="H148" s="30" t="s">
        <v>71</v>
      </c>
      <c r="I148" s="28" t="s">
        <v>72</v>
      </c>
      <c r="J148" s="28" t="s">
        <v>58</v>
      </c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>
        <v>1</v>
      </c>
      <c r="AE148" s="47"/>
      <c r="AF148" s="47"/>
      <c r="AG148" s="47"/>
      <c r="AH148" s="47"/>
      <c r="AI148" s="47"/>
      <c r="AJ148" s="47"/>
      <c r="AK148" s="47"/>
      <c r="AL148" s="47"/>
      <c r="AM148" s="28">
        <f t="shared" si="2"/>
        <v>1</v>
      </c>
      <c r="AN148" s="28"/>
    </row>
    <row r="149" spans="1:40">
      <c r="A149" s="28">
        <v>147</v>
      </c>
      <c r="B149" s="29">
        <v>501225</v>
      </c>
      <c r="C149" s="28" t="s">
        <v>217</v>
      </c>
      <c r="D149" s="28"/>
      <c r="E149" s="28">
        <v>20240619</v>
      </c>
      <c r="F149" s="28"/>
      <c r="G149" s="29" t="s">
        <v>51</v>
      </c>
      <c r="H149" s="30" t="s">
        <v>71</v>
      </c>
      <c r="I149" s="28" t="s">
        <v>72</v>
      </c>
      <c r="J149" s="28" t="s">
        <v>54</v>
      </c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28">
        <f t="shared" si="2"/>
        <v>0</v>
      </c>
      <c r="AN149" s="28"/>
    </row>
    <row r="150" spans="1:40">
      <c r="A150" s="28">
        <v>148</v>
      </c>
      <c r="B150" s="29">
        <v>501226</v>
      </c>
      <c r="C150" s="28" t="s">
        <v>218</v>
      </c>
      <c r="D150" s="28"/>
      <c r="E150" s="28">
        <v>20240619</v>
      </c>
      <c r="F150" s="28"/>
      <c r="G150" s="29" t="s">
        <v>51</v>
      </c>
      <c r="H150" s="30" t="s">
        <v>71</v>
      </c>
      <c r="I150" s="28" t="s">
        <v>72</v>
      </c>
      <c r="J150" s="28" t="s">
        <v>54</v>
      </c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>
        <v>1</v>
      </c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28">
        <f t="shared" si="2"/>
        <v>1</v>
      </c>
      <c r="AN150" s="28"/>
    </row>
    <row r="151" spans="1:40">
      <c r="A151" s="28">
        <v>149</v>
      </c>
      <c r="B151" s="29">
        <v>500402</v>
      </c>
      <c r="C151" s="28" t="s">
        <v>131</v>
      </c>
      <c r="D151" s="28"/>
      <c r="E151" s="28">
        <v>20161017</v>
      </c>
      <c r="F151" s="28"/>
      <c r="G151" s="29" t="s">
        <v>51</v>
      </c>
      <c r="H151" s="30" t="s">
        <v>132</v>
      </c>
      <c r="I151" s="28" t="s">
        <v>133</v>
      </c>
      <c r="J151" s="28" t="s">
        <v>54</v>
      </c>
      <c r="K151" s="47"/>
      <c r="L151" s="47"/>
      <c r="M151" s="47"/>
      <c r="N151" s="47"/>
      <c r="O151" s="47"/>
      <c r="P151" s="47"/>
      <c r="Q151" s="47"/>
      <c r="R151" s="47"/>
      <c r="S151" s="47"/>
      <c r="T151" s="47">
        <v>1</v>
      </c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>
        <v>1</v>
      </c>
      <c r="AJ151" s="47"/>
      <c r="AK151" s="47"/>
      <c r="AL151" s="47"/>
      <c r="AM151" s="28">
        <f t="shared" si="2"/>
        <v>2</v>
      </c>
      <c r="AN151" s="28"/>
    </row>
    <row r="152" spans="1:40">
      <c r="A152" s="28">
        <v>150</v>
      </c>
      <c r="B152" s="29">
        <v>500441</v>
      </c>
      <c r="C152" s="28" t="s">
        <v>139</v>
      </c>
      <c r="D152" s="28"/>
      <c r="E152" s="28">
        <v>20161227</v>
      </c>
      <c r="F152" s="28"/>
      <c r="G152" s="29" t="s">
        <v>51</v>
      </c>
      <c r="H152" s="30" t="s">
        <v>132</v>
      </c>
      <c r="I152" s="28" t="s">
        <v>133</v>
      </c>
      <c r="J152" s="28" t="s">
        <v>54</v>
      </c>
      <c r="K152" s="47"/>
      <c r="L152" s="47"/>
      <c r="M152" s="47">
        <v>1</v>
      </c>
      <c r="N152" s="47">
        <v>1</v>
      </c>
      <c r="O152" s="47">
        <v>1</v>
      </c>
      <c r="P152" s="47"/>
      <c r="Q152" s="47">
        <v>1</v>
      </c>
      <c r="R152" s="47"/>
      <c r="S152" s="47"/>
      <c r="T152" s="47"/>
      <c r="U152" s="47">
        <v>1</v>
      </c>
      <c r="V152" s="47"/>
      <c r="W152" s="47"/>
      <c r="X152" s="47">
        <v>1</v>
      </c>
      <c r="Y152" s="47"/>
      <c r="Z152" s="47"/>
      <c r="AA152" s="47"/>
      <c r="AB152" s="47">
        <v>1</v>
      </c>
      <c r="AC152" s="47">
        <v>1</v>
      </c>
      <c r="AD152" s="47">
        <v>1</v>
      </c>
      <c r="AE152" s="47"/>
      <c r="AF152" s="47"/>
      <c r="AG152" s="47">
        <v>1</v>
      </c>
      <c r="AH152" s="47"/>
      <c r="AI152" s="47">
        <v>1</v>
      </c>
      <c r="AJ152" s="47"/>
      <c r="AK152" s="47"/>
      <c r="AL152" s="47">
        <v>1</v>
      </c>
      <c r="AM152" s="28">
        <f t="shared" si="2"/>
        <v>12</v>
      </c>
      <c r="AN152" s="28"/>
    </row>
    <row r="153" spans="1:40">
      <c r="A153" s="28">
        <v>151</v>
      </c>
      <c r="B153" s="29">
        <v>500722</v>
      </c>
      <c r="C153" s="28" t="s">
        <v>163</v>
      </c>
      <c r="D153" s="28"/>
      <c r="E153" s="28">
        <v>20180424</v>
      </c>
      <c r="F153" s="28"/>
      <c r="G153" s="29" t="s">
        <v>51</v>
      </c>
      <c r="H153" s="30" t="s">
        <v>132</v>
      </c>
      <c r="I153" s="28" t="s">
        <v>133</v>
      </c>
      <c r="J153" s="28" t="s">
        <v>54</v>
      </c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>
        <v>1</v>
      </c>
      <c r="AD153" s="47"/>
      <c r="AE153" s="47"/>
      <c r="AF153" s="47"/>
      <c r="AG153" s="47"/>
      <c r="AH153" s="47"/>
      <c r="AI153" s="47"/>
      <c r="AJ153" s="47"/>
      <c r="AK153" s="47"/>
      <c r="AL153" s="47"/>
      <c r="AM153" s="28">
        <f t="shared" si="2"/>
        <v>1</v>
      </c>
      <c r="AN153" s="28"/>
    </row>
    <row r="154" spans="1:40">
      <c r="A154" s="28">
        <v>152</v>
      </c>
      <c r="B154" s="29">
        <v>500783</v>
      </c>
      <c r="C154" s="28" t="s">
        <v>169</v>
      </c>
      <c r="D154" s="28"/>
      <c r="E154" s="28">
        <v>20180801</v>
      </c>
      <c r="F154" s="28"/>
      <c r="G154" s="29" t="s">
        <v>51</v>
      </c>
      <c r="H154" s="30" t="s">
        <v>132</v>
      </c>
      <c r="I154" s="28" t="s">
        <v>133</v>
      </c>
      <c r="J154" s="28" t="s">
        <v>54</v>
      </c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>
        <v>1</v>
      </c>
      <c r="AK154" s="47"/>
      <c r="AL154" s="47"/>
      <c r="AM154" s="28">
        <f t="shared" si="2"/>
        <v>1</v>
      </c>
      <c r="AN154" s="28"/>
    </row>
    <row r="155" spans="1:40">
      <c r="A155" s="28">
        <v>153</v>
      </c>
      <c r="B155" s="29">
        <v>501207</v>
      </c>
      <c r="C155" s="28" t="s">
        <v>212</v>
      </c>
      <c r="D155" s="28"/>
      <c r="E155" s="28">
        <v>20240206</v>
      </c>
      <c r="F155" s="28"/>
      <c r="G155" s="29" t="s">
        <v>51</v>
      </c>
      <c r="H155" s="30" t="s">
        <v>132</v>
      </c>
      <c r="I155" s="28" t="s">
        <v>133</v>
      </c>
      <c r="J155" s="28" t="s">
        <v>54</v>
      </c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28">
        <f t="shared" si="2"/>
        <v>0</v>
      </c>
      <c r="AN155" s="28"/>
    </row>
    <row r="156" spans="1:40">
      <c r="A156" s="28">
        <v>154</v>
      </c>
      <c r="B156" s="29">
        <v>501298</v>
      </c>
      <c r="C156" s="28" t="s">
        <v>261</v>
      </c>
      <c r="D156" s="28"/>
      <c r="E156" s="28">
        <v>20250909</v>
      </c>
      <c r="F156" s="28"/>
      <c r="G156" s="29" t="s">
        <v>51</v>
      </c>
      <c r="H156" s="30" t="s">
        <v>132</v>
      </c>
      <c r="I156" s="28" t="s">
        <v>133</v>
      </c>
      <c r="J156" s="28" t="s">
        <v>54</v>
      </c>
      <c r="K156" s="47"/>
      <c r="L156" s="47"/>
      <c r="M156" s="47"/>
      <c r="N156" s="47"/>
      <c r="O156" s="47"/>
      <c r="P156" s="47"/>
      <c r="Q156" s="47"/>
      <c r="R156" s="47"/>
      <c r="S156" s="47"/>
      <c r="T156" s="47">
        <v>1</v>
      </c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>
        <v>1</v>
      </c>
      <c r="AJ156" s="47"/>
      <c r="AK156" s="47"/>
      <c r="AL156" s="47"/>
      <c r="AM156" s="28">
        <f t="shared" si="2"/>
        <v>2</v>
      </c>
      <c r="AN156" s="28"/>
    </row>
    <row r="157" spans="1:40">
      <c r="A157" s="28">
        <v>155</v>
      </c>
      <c r="B157" s="29">
        <v>501307</v>
      </c>
      <c r="C157" s="28" t="s">
        <v>269</v>
      </c>
      <c r="D157" s="28"/>
      <c r="E157" s="28">
        <v>20251111</v>
      </c>
      <c r="F157" s="28"/>
      <c r="G157" s="29" t="s">
        <v>51</v>
      </c>
      <c r="H157" s="30" t="s">
        <v>132</v>
      </c>
      <c r="I157" s="28" t="s">
        <v>133</v>
      </c>
      <c r="J157" s="28" t="s">
        <v>54</v>
      </c>
      <c r="K157" s="47"/>
      <c r="L157" s="47"/>
      <c r="M157" s="47"/>
      <c r="N157" s="47"/>
      <c r="O157" s="47"/>
      <c r="P157" s="47"/>
      <c r="Q157" s="47"/>
      <c r="R157" s="47"/>
      <c r="S157" s="47">
        <v>1</v>
      </c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>
        <v>1</v>
      </c>
      <c r="AL157" s="47"/>
      <c r="AM157" s="28">
        <f t="shared" si="2"/>
        <v>2</v>
      </c>
      <c r="AN157" s="28"/>
    </row>
    <row r="158" spans="1:40">
      <c r="A158" s="28">
        <v>156</v>
      </c>
      <c r="B158" s="29">
        <v>501308</v>
      </c>
      <c r="C158" s="28" t="s">
        <v>270</v>
      </c>
      <c r="D158" s="28"/>
      <c r="E158" s="28">
        <v>20251111</v>
      </c>
      <c r="F158" s="28"/>
      <c r="G158" s="29" t="s">
        <v>51</v>
      </c>
      <c r="H158" s="30" t="s">
        <v>132</v>
      </c>
      <c r="I158" s="28" t="s">
        <v>133</v>
      </c>
      <c r="J158" s="28" t="s">
        <v>54</v>
      </c>
      <c r="K158" s="47"/>
      <c r="L158" s="47"/>
      <c r="M158" s="47"/>
      <c r="N158" s="47"/>
      <c r="O158" s="47"/>
      <c r="P158" s="47"/>
      <c r="Q158" s="47"/>
      <c r="R158" s="47"/>
      <c r="S158" s="47">
        <v>1</v>
      </c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>
        <v>1</v>
      </c>
      <c r="AL158" s="47"/>
      <c r="AM158" s="28">
        <f t="shared" si="2"/>
        <v>2</v>
      </c>
      <c r="AN158" s="28"/>
    </row>
    <row r="159" spans="1:40">
      <c r="A159" s="28">
        <v>157</v>
      </c>
      <c r="B159" s="41">
        <v>501309</v>
      </c>
      <c r="C159" s="40" t="s">
        <v>271</v>
      </c>
      <c r="D159" s="40"/>
      <c r="E159" s="40">
        <v>20251111</v>
      </c>
      <c r="F159" s="40">
        <v>20260205</v>
      </c>
      <c r="G159" s="41" t="s">
        <v>51</v>
      </c>
      <c r="H159" s="42" t="s">
        <v>132</v>
      </c>
      <c r="I159" s="40" t="s">
        <v>133</v>
      </c>
      <c r="J159" s="40" t="s">
        <v>54</v>
      </c>
      <c r="K159" s="47"/>
      <c r="L159" s="47"/>
      <c r="M159" s="47">
        <v>1</v>
      </c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28">
        <f t="shared" si="2"/>
        <v>1</v>
      </c>
      <c r="AN159" s="28"/>
    </row>
    <row r="160" spans="1:40">
      <c r="A160" s="28">
        <v>158</v>
      </c>
      <c r="B160" s="29">
        <v>501310</v>
      </c>
      <c r="C160" s="28" t="s">
        <v>272</v>
      </c>
      <c r="D160" s="28"/>
      <c r="E160" s="28">
        <v>20251111</v>
      </c>
      <c r="F160" s="28"/>
      <c r="G160" s="29" t="s">
        <v>51</v>
      </c>
      <c r="H160" s="30" t="s">
        <v>132</v>
      </c>
      <c r="I160" s="28" t="s">
        <v>133</v>
      </c>
      <c r="J160" s="28" t="s">
        <v>58</v>
      </c>
      <c r="K160" s="47"/>
      <c r="L160" s="47"/>
      <c r="M160" s="47"/>
      <c r="N160" s="47"/>
      <c r="O160" s="47"/>
      <c r="P160" s="47"/>
      <c r="Q160" s="47"/>
      <c r="R160" s="47"/>
      <c r="S160" s="47">
        <v>1</v>
      </c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>
        <v>1</v>
      </c>
      <c r="AL160" s="47"/>
      <c r="AM160" s="28">
        <f t="shared" si="2"/>
        <v>2</v>
      </c>
      <c r="AN160" s="28"/>
    </row>
    <row r="161" spans="1:40">
      <c r="A161" s="28">
        <v>159</v>
      </c>
      <c r="B161" s="29">
        <v>501315</v>
      </c>
      <c r="C161" s="28" t="s">
        <v>428</v>
      </c>
      <c r="D161" s="28"/>
      <c r="E161" s="28">
        <v>20260203</v>
      </c>
      <c r="F161" s="28"/>
      <c r="G161" s="29" t="s">
        <v>51</v>
      </c>
      <c r="H161" s="30" t="s">
        <v>132</v>
      </c>
      <c r="I161" s="28" t="s">
        <v>133</v>
      </c>
      <c r="J161" s="28" t="s">
        <v>58</v>
      </c>
      <c r="K161" s="28"/>
      <c r="L161" s="28"/>
      <c r="M161" s="28"/>
      <c r="N161" s="28"/>
      <c r="O161" s="28">
        <v>1</v>
      </c>
      <c r="P161" s="28">
        <v>1</v>
      </c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>
        <v>1</v>
      </c>
      <c r="AE161" s="28"/>
      <c r="AF161" s="28"/>
      <c r="AG161" s="28"/>
      <c r="AH161" s="28"/>
      <c r="AI161" s="28"/>
      <c r="AJ161" s="28">
        <v>1</v>
      </c>
      <c r="AK161" s="28"/>
      <c r="AL161" s="28"/>
      <c r="AM161" s="28">
        <f t="shared" si="2"/>
        <v>4</v>
      </c>
      <c r="AN161" s="28"/>
    </row>
    <row r="162" spans="1:40">
      <c r="A162" s="28">
        <v>160</v>
      </c>
      <c r="B162" s="29">
        <v>500056</v>
      </c>
      <c r="C162" s="28" t="s">
        <v>63</v>
      </c>
      <c r="D162" s="28"/>
      <c r="E162" s="28">
        <v>20150518</v>
      </c>
      <c r="F162" s="28"/>
      <c r="G162" s="29" t="s">
        <v>51</v>
      </c>
      <c r="H162" s="30" t="s">
        <v>78</v>
      </c>
      <c r="I162" s="28" t="s">
        <v>79</v>
      </c>
      <c r="J162" s="28" t="s">
        <v>58</v>
      </c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28">
        <f t="shared" si="2"/>
        <v>0</v>
      </c>
      <c r="AN162" s="28"/>
    </row>
    <row r="163" spans="1:40">
      <c r="A163" s="28">
        <v>161</v>
      </c>
      <c r="B163" s="29">
        <v>500078</v>
      </c>
      <c r="C163" s="28" t="s">
        <v>82</v>
      </c>
      <c r="D163" s="28"/>
      <c r="E163" s="28">
        <v>20150615</v>
      </c>
      <c r="F163" s="28"/>
      <c r="G163" s="29" t="s">
        <v>51</v>
      </c>
      <c r="H163" s="30" t="s">
        <v>78</v>
      </c>
      <c r="I163" s="28" t="s">
        <v>79</v>
      </c>
      <c r="J163" s="28" t="s">
        <v>54</v>
      </c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28">
        <f t="shared" si="2"/>
        <v>0</v>
      </c>
      <c r="AN163" s="28"/>
    </row>
    <row r="164" spans="1:40">
      <c r="A164" s="28">
        <v>162</v>
      </c>
      <c r="B164" s="29">
        <v>500106</v>
      </c>
      <c r="C164" s="28" t="s">
        <v>84</v>
      </c>
      <c r="D164" s="28"/>
      <c r="E164" s="28">
        <v>20150701</v>
      </c>
      <c r="F164" s="28"/>
      <c r="G164" s="29" t="s">
        <v>51</v>
      </c>
      <c r="H164" s="30" t="s">
        <v>78</v>
      </c>
      <c r="I164" s="28" t="s">
        <v>79</v>
      </c>
      <c r="J164" s="28" t="s">
        <v>54</v>
      </c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28">
        <f t="shared" si="2"/>
        <v>0</v>
      </c>
      <c r="AN164" s="28"/>
    </row>
    <row r="165" spans="1:40">
      <c r="A165" s="28">
        <v>163</v>
      </c>
      <c r="B165" s="29">
        <v>500263</v>
      </c>
      <c r="C165" s="28" t="s">
        <v>105</v>
      </c>
      <c r="D165" s="28"/>
      <c r="E165" s="28">
        <v>20160114</v>
      </c>
      <c r="F165" s="28"/>
      <c r="G165" s="29" t="s">
        <v>51</v>
      </c>
      <c r="H165" s="30" t="s">
        <v>78</v>
      </c>
      <c r="I165" s="28" t="s">
        <v>79</v>
      </c>
      <c r="J165" s="28" t="s">
        <v>54</v>
      </c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28">
        <f t="shared" si="2"/>
        <v>0</v>
      </c>
      <c r="AN165" s="28"/>
    </row>
    <row r="166" spans="1:40">
      <c r="A166" s="28">
        <v>164</v>
      </c>
      <c r="B166" s="29">
        <v>500273</v>
      </c>
      <c r="C166" s="28" t="s">
        <v>106</v>
      </c>
      <c r="D166" s="28"/>
      <c r="E166" s="28">
        <v>20160210</v>
      </c>
      <c r="F166" s="28"/>
      <c r="G166" s="29" t="s">
        <v>51</v>
      </c>
      <c r="H166" s="30" t="s">
        <v>78</v>
      </c>
      <c r="I166" s="28" t="s">
        <v>79</v>
      </c>
      <c r="J166" s="28" t="s">
        <v>54</v>
      </c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28">
        <f t="shared" si="2"/>
        <v>0</v>
      </c>
      <c r="AN166" s="28"/>
    </row>
    <row r="167" spans="1:40">
      <c r="A167" s="28">
        <v>165</v>
      </c>
      <c r="B167" s="29">
        <v>500282</v>
      </c>
      <c r="C167" s="28" t="s">
        <v>108</v>
      </c>
      <c r="D167" s="28"/>
      <c r="E167" s="28">
        <v>20160321</v>
      </c>
      <c r="F167" s="28"/>
      <c r="G167" s="29" t="s">
        <v>51</v>
      </c>
      <c r="H167" s="30" t="s">
        <v>78</v>
      </c>
      <c r="I167" s="28" t="s">
        <v>79</v>
      </c>
      <c r="J167" s="28" t="s">
        <v>54</v>
      </c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28">
        <f t="shared" si="2"/>
        <v>0</v>
      </c>
      <c r="AN167" s="28"/>
    </row>
    <row r="168" spans="1:40">
      <c r="A168" s="28">
        <v>166</v>
      </c>
      <c r="B168" s="29">
        <v>500297</v>
      </c>
      <c r="C168" s="28" t="s">
        <v>110</v>
      </c>
      <c r="D168" s="28"/>
      <c r="E168" s="28">
        <v>20160503</v>
      </c>
      <c r="F168" s="28"/>
      <c r="G168" s="29" t="s">
        <v>51</v>
      </c>
      <c r="H168" s="30" t="s">
        <v>78</v>
      </c>
      <c r="I168" s="28" t="s">
        <v>79</v>
      </c>
      <c r="J168" s="28" t="s">
        <v>54</v>
      </c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28">
        <f t="shared" si="2"/>
        <v>0</v>
      </c>
      <c r="AN168" s="28"/>
    </row>
    <row r="169" spans="1:40">
      <c r="A169" s="28">
        <v>167</v>
      </c>
      <c r="B169" s="29">
        <v>500300</v>
      </c>
      <c r="C169" s="28" t="s">
        <v>112</v>
      </c>
      <c r="D169" s="28"/>
      <c r="E169" s="28">
        <v>20160503</v>
      </c>
      <c r="F169" s="28"/>
      <c r="G169" s="29" t="s">
        <v>51</v>
      </c>
      <c r="H169" s="30" t="s">
        <v>78</v>
      </c>
      <c r="I169" s="28" t="s">
        <v>79</v>
      </c>
      <c r="J169" s="28" t="s">
        <v>54</v>
      </c>
      <c r="K169" s="47"/>
      <c r="L169" s="47"/>
      <c r="M169" s="47"/>
      <c r="N169" s="47">
        <v>1</v>
      </c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28">
        <f t="shared" si="2"/>
        <v>1</v>
      </c>
      <c r="AN169" s="28"/>
    </row>
    <row r="170" spans="1:40">
      <c r="A170" s="28">
        <v>168</v>
      </c>
      <c r="B170" s="29">
        <v>500423</v>
      </c>
      <c r="C170" s="28" t="s">
        <v>135</v>
      </c>
      <c r="D170" s="28"/>
      <c r="E170" s="28">
        <v>20161201</v>
      </c>
      <c r="F170" s="28"/>
      <c r="G170" s="29" t="s">
        <v>51</v>
      </c>
      <c r="H170" s="30" t="s">
        <v>78</v>
      </c>
      <c r="I170" s="28" t="s">
        <v>79</v>
      </c>
      <c r="J170" s="28" t="s">
        <v>58</v>
      </c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28">
        <f t="shared" si="2"/>
        <v>0</v>
      </c>
      <c r="AN170" s="28"/>
    </row>
    <row r="171" spans="1:40">
      <c r="A171" s="28">
        <v>169</v>
      </c>
      <c r="B171" s="29">
        <v>500583</v>
      </c>
      <c r="C171" s="28" t="s">
        <v>154</v>
      </c>
      <c r="D171" s="28"/>
      <c r="E171" s="28">
        <v>20170803</v>
      </c>
      <c r="F171" s="28"/>
      <c r="G171" s="29" t="s">
        <v>51</v>
      </c>
      <c r="H171" s="30" t="s">
        <v>78</v>
      </c>
      <c r="I171" s="28" t="s">
        <v>79</v>
      </c>
      <c r="J171" s="28" t="s">
        <v>58</v>
      </c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28">
        <f t="shared" si="2"/>
        <v>0</v>
      </c>
      <c r="AN171" s="28"/>
    </row>
    <row r="172" spans="1:40">
      <c r="A172" s="28">
        <v>170</v>
      </c>
      <c r="B172" s="29">
        <v>500678</v>
      </c>
      <c r="C172" s="28" t="s">
        <v>157</v>
      </c>
      <c r="D172" s="28"/>
      <c r="E172" s="28">
        <v>20180116</v>
      </c>
      <c r="F172" s="28"/>
      <c r="G172" s="29" t="s">
        <v>51</v>
      </c>
      <c r="H172" s="30" t="s">
        <v>78</v>
      </c>
      <c r="I172" s="28" t="s">
        <v>79</v>
      </c>
      <c r="J172" s="28" t="s">
        <v>58</v>
      </c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28">
        <f t="shared" si="2"/>
        <v>0</v>
      </c>
      <c r="AN172" s="28"/>
    </row>
    <row r="173" spans="1:40">
      <c r="A173" s="28">
        <v>171</v>
      </c>
      <c r="B173" s="29">
        <v>501220</v>
      </c>
      <c r="C173" s="28" t="s">
        <v>216</v>
      </c>
      <c r="D173" s="28"/>
      <c r="E173" s="28">
        <v>20240604</v>
      </c>
      <c r="F173" s="28"/>
      <c r="G173" s="29" t="s">
        <v>51</v>
      </c>
      <c r="H173" s="30" t="s">
        <v>78</v>
      </c>
      <c r="I173" s="28" t="s">
        <v>79</v>
      </c>
      <c r="J173" s="28" t="s">
        <v>58</v>
      </c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28">
        <f t="shared" si="2"/>
        <v>0</v>
      </c>
      <c r="AN173" s="28"/>
    </row>
    <row r="174" spans="1:40">
      <c r="A174" s="28">
        <v>172</v>
      </c>
      <c r="B174" s="29">
        <v>501234</v>
      </c>
      <c r="C174" s="28" t="s">
        <v>221</v>
      </c>
      <c r="D174" s="28"/>
      <c r="E174" s="28">
        <v>20240716</v>
      </c>
      <c r="F174" s="28"/>
      <c r="G174" s="29" t="s">
        <v>51</v>
      </c>
      <c r="H174" s="30" t="s">
        <v>78</v>
      </c>
      <c r="I174" s="28" t="s">
        <v>79</v>
      </c>
      <c r="J174" s="28" t="s">
        <v>58</v>
      </c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28">
        <f t="shared" si="2"/>
        <v>0</v>
      </c>
      <c r="AN174" s="28"/>
    </row>
    <row r="175" spans="1:40">
      <c r="A175" s="28">
        <v>173</v>
      </c>
      <c r="B175" s="29">
        <v>501241</v>
      </c>
      <c r="C175" s="28" t="s">
        <v>226</v>
      </c>
      <c r="D175" s="28"/>
      <c r="E175" s="28">
        <v>20240829</v>
      </c>
      <c r="F175" s="28"/>
      <c r="G175" s="29" t="s">
        <v>51</v>
      </c>
      <c r="H175" s="30" t="s">
        <v>78</v>
      </c>
      <c r="I175" s="28" t="s">
        <v>79</v>
      </c>
      <c r="J175" s="28" t="s">
        <v>54</v>
      </c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28">
        <f t="shared" si="2"/>
        <v>0</v>
      </c>
      <c r="AN175" s="28"/>
    </row>
    <row r="176" spans="1:40">
      <c r="A176" s="28">
        <v>174</v>
      </c>
      <c r="B176" s="29">
        <v>501244</v>
      </c>
      <c r="C176" s="28" t="s">
        <v>227</v>
      </c>
      <c r="D176" s="28"/>
      <c r="E176" s="28">
        <v>20240909</v>
      </c>
      <c r="F176" s="28"/>
      <c r="G176" s="29" t="s">
        <v>51</v>
      </c>
      <c r="H176" s="30" t="s">
        <v>78</v>
      </c>
      <c r="I176" s="28" t="s">
        <v>79</v>
      </c>
      <c r="J176" s="28" t="s">
        <v>54</v>
      </c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28">
        <f t="shared" si="2"/>
        <v>0</v>
      </c>
      <c r="AN176" s="28"/>
    </row>
    <row r="177" spans="1:40">
      <c r="A177" s="28">
        <v>175</v>
      </c>
      <c r="B177" s="29">
        <v>501249</v>
      </c>
      <c r="C177" s="28" t="s">
        <v>231</v>
      </c>
      <c r="D177" s="28"/>
      <c r="E177" s="28">
        <v>20241010</v>
      </c>
      <c r="F177" s="28"/>
      <c r="G177" s="29" t="s">
        <v>51</v>
      </c>
      <c r="H177" s="30" t="s">
        <v>78</v>
      </c>
      <c r="I177" s="28" t="s">
        <v>79</v>
      </c>
      <c r="J177" s="28" t="s">
        <v>58</v>
      </c>
      <c r="K177" s="47"/>
      <c r="L177" s="47"/>
      <c r="M177" s="47"/>
      <c r="N177" s="47"/>
      <c r="O177" s="47"/>
      <c r="P177" s="47"/>
      <c r="Q177" s="47"/>
      <c r="R177" s="47"/>
      <c r="S177" s="47">
        <v>1</v>
      </c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28">
        <f t="shared" si="2"/>
        <v>1</v>
      </c>
      <c r="AN177" s="28"/>
    </row>
    <row r="178" spans="1:40">
      <c r="A178" s="28">
        <v>176</v>
      </c>
      <c r="B178" s="29">
        <v>501268</v>
      </c>
      <c r="C178" s="28" t="s">
        <v>243</v>
      </c>
      <c r="D178" s="28"/>
      <c r="E178" s="28">
        <v>20250310</v>
      </c>
      <c r="F178" s="28"/>
      <c r="G178" s="29" t="s">
        <v>51</v>
      </c>
      <c r="H178" s="30" t="s">
        <v>78</v>
      </c>
      <c r="I178" s="28" t="s">
        <v>79</v>
      </c>
      <c r="J178" s="28" t="s">
        <v>58</v>
      </c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28">
        <f t="shared" si="2"/>
        <v>0</v>
      </c>
      <c r="AN178" s="28"/>
    </row>
    <row r="179" spans="1:40">
      <c r="A179" s="28">
        <v>177</v>
      </c>
      <c r="B179" s="29">
        <v>501276</v>
      </c>
      <c r="C179" s="28" t="s">
        <v>249</v>
      </c>
      <c r="D179" s="28"/>
      <c r="E179" s="28">
        <v>20250502</v>
      </c>
      <c r="F179" s="28"/>
      <c r="G179" s="29" t="s">
        <v>51</v>
      </c>
      <c r="H179" s="30" t="s">
        <v>78</v>
      </c>
      <c r="I179" s="28" t="s">
        <v>79</v>
      </c>
      <c r="J179" s="28" t="s">
        <v>58</v>
      </c>
      <c r="K179" s="47"/>
      <c r="L179" s="47"/>
      <c r="M179" s="47">
        <v>1</v>
      </c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28">
        <f t="shared" si="2"/>
        <v>1</v>
      </c>
      <c r="AN179" s="28"/>
    </row>
    <row r="180" spans="1:40">
      <c r="A180" s="28">
        <v>178</v>
      </c>
      <c r="B180" s="29">
        <v>501281</v>
      </c>
      <c r="C180" s="28" t="s">
        <v>253</v>
      </c>
      <c r="D180" s="28"/>
      <c r="E180" s="28">
        <v>20250508</v>
      </c>
      <c r="F180" s="28"/>
      <c r="G180" s="29" t="s">
        <v>51</v>
      </c>
      <c r="H180" s="30" t="s">
        <v>78</v>
      </c>
      <c r="I180" s="28" t="s">
        <v>79</v>
      </c>
      <c r="J180" s="28" t="s">
        <v>58</v>
      </c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28">
        <f t="shared" si="2"/>
        <v>0</v>
      </c>
      <c r="AN180" s="28"/>
    </row>
    <row r="181" spans="1:40">
      <c r="A181" s="28">
        <v>179</v>
      </c>
      <c r="B181" s="29">
        <v>501303</v>
      </c>
      <c r="C181" s="28" t="s">
        <v>265</v>
      </c>
      <c r="D181" s="28"/>
      <c r="E181" s="28">
        <v>20251028</v>
      </c>
      <c r="F181" s="28"/>
      <c r="G181" s="29" t="s">
        <v>51</v>
      </c>
      <c r="H181" s="30" t="s">
        <v>78</v>
      </c>
      <c r="I181" s="28" t="s">
        <v>79</v>
      </c>
      <c r="J181" s="28" t="s">
        <v>58</v>
      </c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28">
        <f t="shared" si="2"/>
        <v>0</v>
      </c>
      <c r="AN181" s="28"/>
    </row>
    <row r="182" spans="1:40">
      <c r="A182" s="28">
        <v>180</v>
      </c>
      <c r="B182" s="29">
        <v>501314</v>
      </c>
      <c r="C182" s="28" t="s">
        <v>275</v>
      </c>
      <c r="D182" s="28"/>
      <c r="E182" s="28">
        <v>20260105</v>
      </c>
      <c r="F182" s="28"/>
      <c r="G182" s="29" t="s">
        <v>51</v>
      </c>
      <c r="H182" s="30" t="s">
        <v>78</v>
      </c>
      <c r="I182" s="28" t="s">
        <v>79</v>
      </c>
      <c r="J182" s="28" t="s">
        <v>58</v>
      </c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28">
        <f t="shared" si="2"/>
        <v>0</v>
      </c>
      <c r="AN182" s="28"/>
    </row>
    <row r="183" spans="1:40">
      <c r="A183" s="28">
        <v>181</v>
      </c>
      <c r="B183" s="29">
        <v>500383</v>
      </c>
      <c r="C183" s="28" t="s">
        <v>127</v>
      </c>
      <c r="D183" s="28"/>
      <c r="E183" s="28">
        <v>20161003</v>
      </c>
      <c r="F183" s="28"/>
      <c r="G183" s="29" t="s">
        <v>51</v>
      </c>
      <c r="H183" s="30" t="s">
        <v>128</v>
      </c>
      <c r="I183" s="28" t="s">
        <v>129</v>
      </c>
      <c r="J183" s="28" t="s">
        <v>58</v>
      </c>
      <c r="K183" s="47"/>
      <c r="L183" s="47"/>
      <c r="M183" s="47"/>
      <c r="N183" s="47"/>
      <c r="O183" s="47"/>
      <c r="P183" s="47"/>
      <c r="Q183" s="47"/>
      <c r="R183" s="47"/>
      <c r="S183" s="47"/>
      <c r="T183" s="47">
        <v>1</v>
      </c>
      <c r="U183" s="47">
        <v>1</v>
      </c>
      <c r="V183" s="47"/>
      <c r="W183" s="47"/>
      <c r="X183" s="47">
        <v>1</v>
      </c>
      <c r="Y183" s="47"/>
      <c r="Z183" s="47"/>
      <c r="AA183" s="47"/>
      <c r="AB183" s="47"/>
      <c r="AC183" s="47">
        <v>1</v>
      </c>
      <c r="AD183" s="47">
        <v>1</v>
      </c>
      <c r="AE183" s="47"/>
      <c r="AF183" s="47"/>
      <c r="AG183" s="47"/>
      <c r="AH183" s="47"/>
      <c r="AI183" s="47">
        <v>1</v>
      </c>
      <c r="AJ183" s="47"/>
      <c r="AK183" s="47"/>
      <c r="AL183" s="47"/>
      <c r="AM183" s="28">
        <f t="shared" si="2"/>
        <v>6</v>
      </c>
      <c r="AN183" s="28"/>
    </row>
    <row r="184" spans="1:40">
      <c r="A184" s="28">
        <v>182</v>
      </c>
      <c r="B184" s="29">
        <v>500429</v>
      </c>
      <c r="C184" s="28" t="s">
        <v>136</v>
      </c>
      <c r="D184" s="28"/>
      <c r="E184" s="28">
        <v>20161208</v>
      </c>
      <c r="F184" s="28"/>
      <c r="G184" s="29" t="s">
        <v>51</v>
      </c>
      <c r="H184" s="30" t="s">
        <v>128</v>
      </c>
      <c r="I184" s="28" t="s">
        <v>129</v>
      </c>
      <c r="J184" s="28" t="s">
        <v>58</v>
      </c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28">
        <f t="shared" si="2"/>
        <v>0</v>
      </c>
      <c r="AN184" s="28"/>
    </row>
    <row r="185" spans="1:40">
      <c r="A185" s="28">
        <v>183</v>
      </c>
      <c r="B185" s="29">
        <v>500502</v>
      </c>
      <c r="C185" s="28" t="s">
        <v>142</v>
      </c>
      <c r="D185" s="28"/>
      <c r="E185" s="28">
        <v>20170314</v>
      </c>
      <c r="F185" s="28"/>
      <c r="G185" s="29" t="s">
        <v>51</v>
      </c>
      <c r="H185" s="30" t="s">
        <v>128</v>
      </c>
      <c r="I185" s="28" t="s">
        <v>129</v>
      </c>
      <c r="J185" s="28" t="s">
        <v>58</v>
      </c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28">
        <f t="shared" si="2"/>
        <v>0</v>
      </c>
      <c r="AN185" s="28"/>
    </row>
    <row r="186" spans="1:40">
      <c r="A186" s="28">
        <v>184</v>
      </c>
      <c r="B186" s="29">
        <v>500504</v>
      </c>
      <c r="C186" s="28" t="s">
        <v>143</v>
      </c>
      <c r="D186" s="28"/>
      <c r="E186" s="28">
        <v>20170314</v>
      </c>
      <c r="F186" s="28"/>
      <c r="G186" s="29" t="s">
        <v>51</v>
      </c>
      <c r="H186" s="30" t="s">
        <v>128</v>
      </c>
      <c r="I186" s="28" t="s">
        <v>129</v>
      </c>
      <c r="J186" s="28" t="s">
        <v>58</v>
      </c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28">
        <f t="shared" si="2"/>
        <v>0</v>
      </c>
      <c r="AN186" s="28"/>
    </row>
    <row r="187" spans="1:40">
      <c r="A187" s="28">
        <v>185</v>
      </c>
      <c r="B187" s="29">
        <v>500534</v>
      </c>
      <c r="C187" s="28" t="s">
        <v>150</v>
      </c>
      <c r="D187" s="28"/>
      <c r="E187" s="28">
        <v>20170511</v>
      </c>
      <c r="F187" s="28"/>
      <c r="G187" s="29" t="s">
        <v>51</v>
      </c>
      <c r="H187" s="30" t="s">
        <v>128</v>
      </c>
      <c r="I187" s="28" t="s">
        <v>129</v>
      </c>
      <c r="J187" s="28" t="s">
        <v>58</v>
      </c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28">
        <f t="shared" si="2"/>
        <v>0</v>
      </c>
      <c r="AN187" s="28"/>
    </row>
    <row r="188" spans="1:40">
      <c r="A188" s="28">
        <v>186</v>
      </c>
      <c r="B188" s="29">
        <v>500590</v>
      </c>
      <c r="C188" s="28" t="s">
        <v>155</v>
      </c>
      <c r="D188" s="28"/>
      <c r="E188" s="28">
        <v>20170803</v>
      </c>
      <c r="F188" s="28"/>
      <c r="G188" s="29" t="s">
        <v>51</v>
      </c>
      <c r="H188" s="30" t="s">
        <v>128</v>
      </c>
      <c r="I188" s="28" t="s">
        <v>129</v>
      </c>
      <c r="J188" s="28" t="s">
        <v>58</v>
      </c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28">
        <f t="shared" si="2"/>
        <v>0</v>
      </c>
      <c r="AN188" s="28"/>
    </row>
    <row r="189" spans="1:40">
      <c r="A189" s="28">
        <v>187</v>
      </c>
      <c r="B189" s="29">
        <v>500772</v>
      </c>
      <c r="C189" s="28" t="s">
        <v>166</v>
      </c>
      <c r="D189" s="28"/>
      <c r="E189" s="28">
        <v>20180710</v>
      </c>
      <c r="F189" s="28"/>
      <c r="G189" s="29" t="s">
        <v>51</v>
      </c>
      <c r="H189" s="30" t="s">
        <v>128</v>
      </c>
      <c r="I189" s="28" t="s">
        <v>129</v>
      </c>
      <c r="J189" s="28" t="s">
        <v>58</v>
      </c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28">
        <f t="shared" si="2"/>
        <v>0</v>
      </c>
      <c r="AN189" s="28"/>
    </row>
    <row r="190" spans="1:40">
      <c r="A190" s="28">
        <v>188</v>
      </c>
      <c r="B190" s="29">
        <v>500825</v>
      </c>
      <c r="C190" s="28" t="s">
        <v>173</v>
      </c>
      <c r="D190" s="28"/>
      <c r="E190" s="28">
        <v>20181211</v>
      </c>
      <c r="F190" s="28"/>
      <c r="G190" s="29" t="s">
        <v>51</v>
      </c>
      <c r="H190" s="30" t="s">
        <v>128</v>
      </c>
      <c r="I190" s="28" t="s">
        <v>129</v>
      </c>
      <c r="J190" s="28" t="s">
        <v>58</v>
      </c>
      <c r="K190" s="47"/>
      <c r="L190" s="47"/>
      <c r="M190" s="47"/>
      <c r="N190" s="47">
        <v>1</v>
      </c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28">
        <f t="shared" si="2"/>
        <v>1</v>
      </c>
      <c r="AN190" s="28"/>
    </row>
    <row r="191" spans="1:40">
      <c r="A191" s="28">
        <v>189</v>
      </c>
      <c r="B191" s="29">
        <v>501274</v>
      </c>
      <c r="C191" s="28" t="s">
        <v>247</v>
      </c>
      <c r="D191" s="28"/>
      <c r="E191" s="28">
        <v>20250423</v>
      </c>
      <c r="F191" s="28"/>
      <c r="G191" s="29" t="s">
        <v>51</v>
      </c>
      <c r="H191" s="30" t="s">
        <v>128</v>
      </c>
      <c r="I191" s="28" t="s">
        <v>129</v>
      </c>
      <c r="J191" s="28" t="s">
        <v>58</v>
      </c>
      <c r="K191" s="47"/>
      <c r="L191" s="47"/>
      <c r="M191" s="47"/>
      <c r="N191" s="47">
        <v>1</v>
      </c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28">
        <f t="shared" si="2"/>
        <v>1</v>
      </c>
      <c r="AN191" s="28"/>
    </row>
    <row r="192" spans="1:40">
      <c r="A192" s="28">
        <v>190</v>
      </c>
      <c r="B192" s="29">
        <v>501286</v>
      </c>
      <c r="C192" s="28" t="s">
        <v>257</v>
      </c>
      <c r="D192" s="28"/>
      <c r="E192" s="28">
        <v>20250605</v>
      </c>
      <c r="F192" s="28"/>
      <c r="G192" s="29" t="s">
        <v>51</v>
      </c>
      <c r="H192" s="30" t="s">
        <v>128</v>
      </c>
      <c r="I192" s="28" t="s">
        <v>129</v>
      </c>
      <c r="J192" s="28" t="s">
        <v>58</v>
      </c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28">
        <f t="shared" si="2"/>
        <v>0</v>
      </c>
      <c r="AN192" s="28"/>
    </row>
    <row r="193" spans="1:40">
      <c r="A193" s="28">
        <v>191</v>
      </c>
      <c r="B193" s="29">
        <v>501305</v>
      </c>
      <c r="C193" s="28" t="s">
        <v>267</v>
      </c>
      <c r="D193" s="28"/>
      <c r="E193" s="28">
        <v>20251106</v>
      </c>
      <c r="F193" s="28"/>
      <c r="G193" s="29" t="s">
        <v>51</v>
      </c>
      <c r="H193" s="30" t="s">
        <v>128</v>
      </c>
      <c r="I193" s="28" t="s">
        <v>129</v>
      </c>
      <c r="J193" s="28" t="s">
        <v>58</v>
      </c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28">
        <f t="shared" si="2"/>
        <v>0</v>
      </c>
      <c r="AN193" s="28"/>
    </row>
    <row r="194" spans="1:40">
      <c r="A194" s="28">
        <v>192</v>
      </c>
      <c r="B194" s="29">
        <v>501306</v>
      </c>
      <c r="C194" s="28" t="s">
        <v>268</v>
      </c>
      <c r="D194" s="28"/>
      <c r="E194" s="28">
        <v>20251106</v>
      </c>
      <c r="F194" s="28"/>
      <c r="G194" s="29" t="s">
        <v>51</v>
      </c>
      <c r="H194" s="30" t="s">
        <v>128</v>
      </c>
      <c r="I194" s="28" t="s">
        <v>129</v>
      </c>
      <c r="J194" s="28" t="s">
        <v>58</v>
      </c>
      <c r="K194" s="47"/>
      <c r="L194" s="47"/>
      <c r="M194" s="47"/>
      <c r="N194" s="47">
        <v>1</v>
      </c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28">
        <f t="shared" si="2"/>
        <v>1</v>
      </c>
      <c r="AN194" s="28"/>
    </row>
    <row r="195" spans="1:40">
      <c r="A195" s="28">
        <v>193</v>
      </c>
      <c r="B195" s="29">
        <v>501318</v>
      </c>
      <c r="C195" s="28" t="s">
        <v>420</v>
      </c>
      <c r="D195" s="28"/>
      <c r="E195" s="28">
        <v>20260226</v>
      </c>
      <c r="F195" s="28"/>
      <c r="G195" s="29" t="s">
        <v>51</v>
      </c>
      <c r="H195" s="30" t="s">
        <v>128</v>
      </c>
      <c r="I195" s="28" t="s">
        <v>129</v>
      </c>
      <c r="J195" s="28" t="s">
        <v>58</v>
      </c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>
        <f t="shared" ref="AM195:AM258" si="3">SUM(K195:AL195)</f>
        <v>0</v>
      </c>
      <c r="AN195" s="28"/>
    </row>
    <row r="196" spans="1:40">
      <c r="A196" s="28">
        <v>194</v>
      </c>
      <c r="B196" s="29">
        <v>100525</v>
      </c>
      <c r="C196" s="28" t="s">
        <v>50</v>
      </c>
      <c r="D196" s="28"/>
      <c r="E196" s="28">
        <v>20150706</v>
      </c>
      <c r="F196" s="28"/>
      <c r="G196" s="29" t="s">
        <v>51</v>
      </c>
      <c r="H196" s="30" t="s">
        <v>52</v>
      </c>
      <c r="I196" s="28" t="s">
        <v>53</v>
      </c>
      <c r="J196" s="28" t="s">
        <v>54</v>
      </c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28">
        <f t="shared" si="3"/>
        <v>0</v>
      </c>
      <c r="AN196" s="28"/>
    </row>
    <row r="197" spans="1:40">
      <c r="A197" s="28">
        <v>195</v>
      </c>
      <c r="B197" s="29">
        <v>500368</v>
      </c>
      <c r="C197" s="28" t="s">
        <v>124</v>
      </c>
      <c r="D197" s="28"/>
      <c r="E197" s="28">
        <v>20160906</v>
      </c>
      <c r="F197" s="28"/>
      <c r="G197" s="29" t="s">
        <v>51</v>
      </c>
      <c r="H197" s="30" t="s">
        <v>52</v>
      </c>
      <c r="I197" s="28" t="s">
        <v>53</v>
      </c>
      <c r="J197" s="28" t="s">
        <v>54</v>
      </c>
      <c r="K197" s="47"/>
      <c r="L197" s="47"/>
      <c r="M197" s="47"/>
      <c r="N197" s="47">
        <v>1</v>
      </c>
      <c r="O197" s="47"/>
      <c r="P197" s="47"/>
      <c r="Q197" s="47">
        <v>1</v>
      </c>
      <c r="R197" s="47"/>
      <c r="S197" s="47">
        <v>1</v>
      </c>
      <c r="T197" s="47"/>
      <c r="U197" s="47"/>
      <c r="V197" s="47"/>
      <c r="W197" s="47"/>
      <c r="X197" s="47"/>
      <c r="Y197" s="47"/>
      <c r="Z197" s="47"/>
      <c r="AA197" s="47"/>
      <c r="AB197" s="47"/>
      <c r="AC197" s="47">
        <v>1</v>
      </c>
      <c r="AD197" s="47">
        <v>1</v>
      </c>
      <c r="AE197" s="47"/>
      <c r="AF197" s="47"/>
      <c r="AG197" s="47"/>
      <c r="AH197" s="47">
        <v>1</v>
      </c>
      <c r="AI197" s="47">
        <v>1</v>
      </c>
      <c r="AJ197" s="47"/>
      <c r="AK197" s="47"/>
      <c r="AL197" s="47">
        <v>1</v>
      </c>
      <c r="AM197" s="28">
        <f t="shared" si="3"/>
        <v>8</v>
      </c>
      <c r="AN197" s="28"/>
    </row>
    <row r="198" spans="1:40">
      <c r="A198" s="28">
        <v>196</v>
      </c>
      <c r="B198" s="29">
        <v>500372</v>
      </c>
      <c r="C198" s="28" t="s">
        <v>125</v>
      </c>
      <c r="D198" s="28"/>
      <c r="E198" s="28">
        <v>20160915</v>
      </c>
      <c r="F198" s="28"/>
      <c r="G198" s="29" t="s">
        <v>51</v>
      </c>
      <c r="H198" s="30" t="s">
        <v>52</v>
      </c>
      <c r="I198" s="28" t="s">
        <v>53</v>
      </c>
      <c r="J198" s="28" t="s">
        <v>54</v>
      </c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28">
        <f t="shared" si="3"/>
        <v>0</v>
      </c>
      <c r="AN198" s="28"/>
    </row>
    <row r="199" spans="1:40">
      <c r="A199" s="28">
        <v>197</v>
      </c>
      <c r="B199" s="29">
        <v>500776</v>
      </c>
      <c r="C199" s="28" t="s">
        <v>167</v>
      </c>
      <c r="D199" s="28"/>
      <c r="E199" s="28">
        <v>20180710</v>
      </c>
      <c r="F199" s="28"/>
      <c r="G199" s="29" t="s">
        <v>51</v>
      </c>
      <c r="H199" s="30" t="s">
        <v>52</v>
      </c>
      <c r="I199" s="28" t="s">
        <v>53</v>
      </c>
      <c r="J199" s="28" t="s">
        <v>54</v>
      </c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28">
        <f t="shared" si="3"/>
        <v>0</v>
      </c>
      <c r="AN199" s="28"/>
    </row>
    <row r="200" spans="1:40">
      <c r="A200" s="28">
        <v>198</v>
      </c>
      <c r="B200" s="29">
        <v>500830</v>
      </c>
      <c r="C200" s="28" t="s">
        <v>83</v>
      </c>
      <c r="D200" s="28"/>
      <c r="E200" s="28">
        <v>20190108</v>
      </c>
      <c r="F200" s="28"/>
      <c r="G200" s="29" t="s">
        <v>51</v>
      </c>
      <c r="H200" s="30" t="s">
        <v>52</v>
      </c>
      <c r="I200" s="28" t="s">
        <v>53</v>
      </c>
      <c r="J200" s="28" t="s">
        <v>54</v>
      </c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28">
        <f t="shared" si="3"/>
        <v>0</v>
      </c>
      <c r="AN200" s="28"/>
    </row>
    <row r="201" spans="1:40">
      <c r="A201" s="28">
        <v>199</v>
      </c>
      <c r="B201" s="29">
        <v>500247</v>
      </c>
      <c r="C201" s="28" t="s">
        <v>276</v>
      </c>
      <c r="D201" s="28"/>
      <c r="E201" s="28">
        <v>20151229</v>
      </c>
      <c r="F201" s="28"/>
      <c r="G201" s="29" t="s">
        <v>277</v>
      </c>
      <c r="H201" s="28" t="s">
        <v>278</v>
      </c>
      <c r="I201" s="28" t="s">
        <v>279</v>
      </c>
      <c r="J201" s="28" t="s">
        <v>54</v>
      </c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28">
        <f t="shared" si="3"/>
        <v>0</v>
      </c>
      <c r="AN201" s="28"/>
    </row>
    <row r="202" spans="1:40">
      <c r="A202" s="28">
        <v>200</v>
      </c>
      <c r="B202" s="29">
        <v>501313</v>
      </c>
      <c r="C202" s="28" t="s">
        <v>280</v>
      </c>
      <c r="D202" s="28"/>
      <c r="E202" s="28">
        <v>20251121</v>
      </c>
      <c r="F202" s="28"/>
      <c r="G202" s="29" t="s">
        <v>277</v>
      </c>
      <c r="H202" s="28" t="s">
        <v>281</v>
      </c>
      <c r="I202" s="28" t="s">
        <v>282</v>
      </c>
      <c r="J202" s="28" t="s">
        <v>54</v>
      </c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28">
        <f t="shared" si="3"/>
        <v>0</v>
      </c>
      <c r="AN202" s="28"/>
    </row>
    <row r="203" spans="1:40">
      <c r="A203" s="28">
        <v>201</v>
      </c>
      <c r="B203" s="29">
        <v>100086</v>
      </c>
      <c r="C203" s="28" t="s">
        <v>284</v>
      </c>
      <c r="D203" s="28"/>
      <c r="E203" s="28">
        <v>20150305</v>
      </c>
      <c r="F203" s="28"/>
      <c r="G203" s="29" t="s">
        <v>283</v>
      </c>
      <c r="H203" s="28" t="s">
        <v>285</v>
      </c>
      <c r="I203" s="28" t="s">
        <v>286</v>
      </c>
      <c r="J203" s="28" t="s">
        <v>58</v>
      </c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28">
        <f t="shared" si="3"/>
        <v>0</v>
      </c>
      <c r="AN203" s="28"/>
    </row>
    <row r="204" spans="1:40">
      <c r="A204" s="28">
        <v>202</v>
      </c>
      <c r="B204" s="29">
        <v>102440</v>
      </c>
      <c r="C204" s="28" t="s">
        <v>87</v>
      </c>
      <c r="D204" s="28"/>
      <c r="E204" s="28">
        <v>20160329</v>
      </c>
      <c r="F204" s="28"/>
      <c r="G204" s="29" t="s">
        <v>283</v>
      </c>
      <c r="H204" s="28" t="s">
        <v>285</v>
      </c>
      <c r="I204" s="28" t="s">
        <v>286</v>
      </c>
      <c r="J204" s="28" t="s">
        <v>58</v>
      </c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28">
        <f t="shared" si="3"/>
        <v>0</v>
      </c>
      <c r="AN204" s="28"/>
    </row>
    <row r="205" spans="1:40">
      <c r="A205" s="28">
        <v>203</v>
      </c>
      <c r="B205" s="29">
        <v>118691</v>
      </c>
      <c r="C205" s="28" t="s">
        <v>327</v>
      </c>
      <c r="D205" s="28"/>
      <c r="E205" s="28">
        <v>20191107</v>
      </c>
      <c r="F205" s="28"/>
      <c r="G205" s="29" t="s">
        <v>283</v>
      </c>
      <c r="H205" s="28" t="s">
        <v>285</v>
      </c>
      <c r="I205" s="28" t="s">
        <v>286</v>
      </c>
      <c r="J205" s="28" t="s">
        <v>58</v>
      </c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28">
        <f t="shared" si="3"/>
        <v>0</v>
      </c>
      <c r="AN205" s="28"/>
    </row>
    <row r="206" spans="1:40">
      <c r="A206" s="28">
        <v>204</v>
      </c>
      <c r="B206" s="29">
        <v>119263</v>
      </c>
      <c r="C206" s="28" t="s">
        <v>329</v>
      </c>
      <c r="D206" s="28"/>
      <c r="E206" s="28">
        <v>20200114</v>
      </c>
      <c r="F206" s="28"/>
      <c r="G206" s="29" t="s">
        <v>283</v>
      </c>
      <c r="H206" s="28" t="s">
        <v>285</v>
      </c>
      <c r="I206" s="28" t="s">
        <v>286</v>
      </c>
      <c r="J206" s="28" t="s">
        <v>58</v>
      </c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28">
        <f t="shared" si="3"/>
        <v>0</v>
      </c>
      <c r="AN206" s="28"/>
    </row>
    <row r="207" spans="1:40">
      <c r="A207" s="28">
        <v>205</v>
      </c>
      <c r="B207" s="29">
        <v>120584</v>
      </c>
      <c r="C207" s="28" t="s">
        <v>331</v>
      </c>
      <c r="D207" s="28"/>
      <c r="E207" s="28">
        <v>20200330</v>
      </c>
      <c r="F207" s="28"/>
      <c r="G207" s="29" t="s">
        <v>283</v>
      </c>
      <c r="H207" s="28" t="s">
        <v>285</v>
      </c>
      <c r="I207" s="28" t="s">
        <v>286</v>
      </c>
      <c r="J207" s="28" t="s">
        <v>58</v>
      </c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28">
        <f t="shared" si="3"/>
        <v>0</v>
      </c>
      <c r="AN207" s="28"/>
    </row>
    <row r="208" spans="1:40">
      <c r="A208" s="28">
        <v>206</v>
      </c>
      <c r="B208" s="29">
        <v>127745</v>
      </c>
      <c r="C208" s="28" t="s">
        <v>342</v>
      </c>
      <c r="D208" s="28"/>
      <c r="E208" s="28">
        <v>20220621</v>
      </c>
      <c r="F208" s="28"/>
      <c r="G208" s="29" t="s">
        <v>283</v>
      </c>
      <c r="H208" s="28" t="s">
        <v>285</v>
      </c>
      <c r="I208" s="28" t="s">
        <v>286</v>
      </c>
      <c r="J208" s="28" t="s">
        <v>54</v>
      </c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28">
        <f t="shared" si="3"/>
        <v>0</v>
      </c>
      <c r="AN208" s="28"/>
    </row>
    <row r="209" spans="1:40">
      <c r="A209" s="28">
        <v>207</v>
      </c>
      <c r="B209" s="29">
        <v>130797</v>
      </c>
      <c r="C209" s="28" t="s">
        <v>358</v>
      </c>
      <c r="D209" s="28"/>
      <c r="E209" s="28">
        <v>20240507</v>
      </c>
      <c r="F209" s="28"/>
      <c r="G209" s="29" t="s">
        <v>283</v>
      </c>
      <c r="H209" s="28" t="s">
        <v>285</v>
      </c>
      <c r="I209" s="28" t="s">
        <v>286</v>
      </c>
      <c r="J209" s="28" t="s">
        <v>58</v>
      </c>
      <c r="K209" s="47"/>
      <c r="L209" s="47"/>
      <c r="M209" s="47"/>
      <c r="N209" s="47"/>
      <c r="O209" s="47"/>
      <c r="P209" s="47"/>
      <c r="Q209" s="47"/>
      <c r="R209" s="47"/>
      <c r="S209" s="47"/>
      <c r="T209" s="47">
        <v>1</v>
      </c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28">
        <f t="shared" si="3"/>
        <v>1</v>
      </c>
      <c r="AN209" s="28"/>
    </row>
    <row r="210" spans="1:40">
      <c r="A210" s="28">
        <v>208</v>
      </c>
      <c r="B210" s="29">
        <v>131983</v>
      </c>
      <c r="C210" s="28" t="s">
        <v>330</v>
      </c>
      <c r="D210" s="28"/>
      <c r="E210" s="28">
        <v>20240913</v>
      </c>
      <c r="F210" s="28"/>
      <c r="G210" s="29" t="s">
        <v>283</v>
      </c>
      <c r="H210" s="28" t="s">
        <v>285</v>
      </c>
      <c r="I210" s="28" t="s">
        <v>286</v>
      </c>
      <c r="J210" s="28" t="s">
        <v>54</v>
      </c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28">
        <f t="shared" si="3"/>
        <v>0</v>
      </c>
      <c r="AN210" s="28"/>
    </row>
    <row r="211" spans="1:40">
      <c r="A211" s="28">
        <v>209</v>
      </c>
      <c r="B211" s="29">
        <v>132446</v>
      </c>
      <c r="C211" s="28" t="s">
        <v>369</v>
      </c>
      <c r="D211" s="28"/>
      <c r="E211" s="28">
        <v>20241010</v>
      </c>
      <c r="F211" s="28"/>
      <c r="G211" s="29" t="s">
        <v>283</v>
      </c>
      <c r="H211" s="28" t="s">
        <v>285</v>
      </c>
      <c r="I211" s="28" t="s">
        <v>286</v>
      </c>
      <c r="J211" s="28" t="s">
        <v>54</v>
      </c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28">
        <f t="shared" si="3"/>
        <v>0</v>
      </c>
      <c r="AN211" s="28"/>
    </row>
    <row r="212" spans="1:40">
      <c r="A212" s="28">
        <v>210</v>
      </c>
      <c r="B212" s="29">
        <v>132897</v>
      </c>
      <c r="C212" s="28" t="s">
        <v>372</v>
      </c>
      <c r="D212" s="28"/>
      <c r="E212" s="28">
        <v>20241108</v>
      </c>
      <c r="F212" s="28"/>
      <c r="G212" s="29" t="s">
        <v>283</v>
      </c>
      <c r="H212" s="28" t="s">
        <v>285</v>
      </c>
      <c r="I212" s="28" t="s">
        <v>286</v>
      </c>
      <c r="J212" s="28" t="s">
        <v>58</v>
      </c>
      <c r="K212" s="47"/>
      <c r="L212" s="47"/>
      <c r="M212" s="47"/>
      <c r="N212" s="47"/>
      <c r="O212" s="47"/>
      <c r="P212" s="47"/>
      <c r="Q212" s="47"/>
      <c r="R212" s="47"/>
      <c r="S212" s="47">
        <v>1</v>
      </c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>
        <v>1</v>
      </c>
      <c r="AH212" s="47"/>
      <c r="AI212" s="47"/>
      <c r="AJ212" s="47"/>
      <c r="AK212" s="47"/>
      <c r="AL212" s="47"/>
      <c r="AM212" s="28">
        <f t="shared" si="3"/>
        <v>2</v>
      </c>
      <c r="AN212" s="28"/>
    </row>
    <row r="213" spans="1:40">
      <c r="A213" s="28">
        <v>211</v>
      </c>
      <c r="B213" s="29">
        <v>133454</v>
      </c>
      <c r="C213" s="28" t="s">
        <v>378</v>
      </c>
      <c r="D213" s="28"/>
      <c r="E213" s="28">
        <v>20250106</v>
      </c>
      <c r="F213" s="28"/>
      <c r="G213" s="29" t="s">
        <v>283</v>
      </c>
      <c r="H213" s="28" t="s">
        <v>285</v>
      </c>
      <c r="I213" s="28" t="s">
        <v>286</v>
      </c>
      <c r="J213" s="28" t="s">
        <v>54</v>
      </c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28">
        <f t="shared" si="3"/>
        <v>0</v>
      </c>
      <c r="AN213" s="28"/>
    </row>
    <row r="214" spans="1:40">
      <c r="A214" s="28">
        <v>212</v>
      </c>
      <c r="B214" s="29">
        <v>133543</v>
      </c>
      <c r="C214" s="28" t="s">
        <v>379</v>
      </c>
      <c r="D214" s="28"/>
      <c r="E214" s="28">
        <v>20250113</v>
      </c>
      <c r="F214" s="28"/>
      <c r="G214" s="29" t="s">
        <v>283</v>
      </c>
      <c r="H214" s="28" t="s">
        <v>285</v>
      </c>
      <c r="I214" s="28" t="s">
        <v>286</v>
      </c>
      <c r="J214" s="28" t="s">
        <v>58</v>
      </c>
      <c r="K214" s="47"/>
      <c r="L214" s="47"/>
      <c r="M214" s="47"/>
      <c r="N214" s="47"/>
      <c r="O214" s="47"/>
      <c r="P214" s="47"/>
      <c r="Q214" s="47">
        <v>1</v>
      </c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28">
        <f t="shared" si="3"/>
        <v>1</v>
      </c>
      <c r="AN214" s="28"/>
    </row>
    <row r="215" spans="1:40">
      <c r="A215" s="28">
        <v>213</v>
      </c>
      <c r="B215" s="29">
        <v>133544</v>
      </c>
      <c r="C215" s="28" t="s">
        <v>380</v>
      </c>
      <c r="D215" s="28"/>
      <c r="E215" s="28">
        <v>20250113</v>
      </c>
      <c r="F215" s="28"/>
      <c r="G215" s="29" t="s">
        <v>283</v>
      </c>
      <c r="H215" s="28" t="s">
        <v>285</v>
      </c>
      <c r="I215" s="28" t="s">
        <v>286</v>
      </c>
      <c r="J215" s="28" t="s">
        <v>54</v>
      </c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28">
        <f t="shared" si="3"/>
        <v>0</v>
      </c>
      <c r="AN215" s="28"/>
    </row>
    <row r="216" spans="1:40">
      <c r="A216" s="28">
        <v>214</v>
      </c>
      <c r="B216" s="29">
        <v>134065</v>
      </c>
      <c r="C216" s="28" t="s">
        <v>389</v>
      </c>
      <c r="D216" s="28"/>
      <c r="E216" s="28">
        <v>20250307</v>
      </c>
      <c r="F216" s="28"/>
      <c r="G216" s="29" t="s">
        <v>283</v>
      </c>
      <c r="H216" s="28" t="s">
        <v>285</v>
      </c>
      <c r="I216" s="28" t="s">
        <v>286</v>
      </c>
      <c r="J216" s="28" t="s">
        <v>58</v>
      </c>
      <c r="K216" s="47"/>
      <c r="L216" s="47">
        <v>1</v>
      </c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28">
        <f t="shared" si="3"/>
        <v>1</v>
      </c>
      <c r="AN216" s="28"/>
    </row>
    <row r="217" spans="1:40">
      <c r="A217" s="28">
        <v>215</v>
      </c>
      <c r="B217" s="29">
        <v>134089</v>
      </c>
      <c r="C217" s="28" t="s">
        <v>390</v>
      </c>
      <c r="D217" s="28"/>
      <c r="E217" s="28">
        <v>20250310</v>
      </c>
      <c r="F217" s="28"/>
      <c r="G217" s="29" t="s">
        <v>283</v>
      </c>
      <c r="H217" s="28" t="s">
        <v>285</v>
      </c>
      <c r="I217" s="28" t="s">
        <v>286</v>
      </c>
      <c r="J217" s="28" t="s">
        <v>58</v>
      </c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28">
        <f t="shared" si="3"/>
        <v>0</v>
      </c>
      <c r="AN217" s="28"/>
    </row>
    <row r="218" spans="1:40">
      <c r="A218" s="28">
        <v>216</v>
      </c>
      <c r="B218" s="29">
        <v>134831</v>
      </c>
      <c r="C218" s="28" t="s">
        <v>395</v>
      </c>
      <c r="D218" s="28"/>
      <c r="E218" s="28">
        <v>20250506</v>
      </c>
      <c r="F218" s="28"/>
      <c r="G218" s="29" t="s">
        <v>283</v>
      </c>
      <c r="H218" s="28" t="s">
        <v>285</v>
      </c>
      <c r="I218" s="28" t="s">
        <v>286</v>
      </c>
      <c r="J218" s="28" t="s">
        <v>58</v>
      </c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28">
        <f t="shared" si="3"/>
        <v>0</v>
      </c>
      <c r="AN218" s="28"/>
    </row>
    <row r="219" spans="1:40">
      <c r="A219" s="28">
        <v>217</v>
      </c>
      <c r="B219" s="29">
        <v>134928</v>
      </c>
      <c r="C219" s="28" t="s">
        <v>397</v>
      </c>
      <c r="D219" s="28"/>
      <c r="E219" s="28">
        <v>20250520</v>
      </c>
      <c r="F219" s="28"/>
      <c r="G219" s="29" t="s">
        <v>283</v>
      </c>
      <c r="H219" s="28" t="s">
        <v>285</v>
      </c>
      <c r="I219" s="28" t="s">
        <v>286</v>
      </c>
      <c r="J219" s="28" t="s">
        <v>54</v>
      </c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28">
        <f t="shared" si="3"/>
        <v>0</v>
      </c>
      <c r="AN219" s="28"/>
    </row>
    <row r="220" spans="1:40">
      <c r="A220" s="28">
        <v>218</v>
      </c>
      <c r="B220" s="45">
        <v>135011</v>
      </c>
      <c r="C220" s="44" t="s">
        <v>401</v>
      </c>
      <c r="D220" s="44"/>
      <c r="E220" s="44">
        <v>20250624</v>
      </c>
      <c r="F220" s="44">
        <v>20260214</v>
      </c>
      <c r="G220" s="45" t="s">
        <v>283</v>
      </c>
      <c r="H220" s="44" t="s">
        <v>285</v>
      </c>
      <c r="I220" s="44" t="s">
        <v>286</v>
      </c>
      <c r="J220" s="44" t="s">
        <v>54</v>
      </c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28">
        <f t="shared" si="3"/>
        <v>0</v>
      </c>
      <c r="AN220" s="28"/>
    </row>
    <row r="221" spans="1:40">
      <c r="A221" s="28">
        <v>219</v>
      </c>
      <c r="B221" s="29">
        <v>135481</v>
      </c>
      <c r="C221" s="28" t="s">
        <v>406</v>
      </c>
      <c r="D221" s="28"/>
      <c r="E221" s="28">
        <v>20250916</v>
      </c>
      <c r="F221" s="28"/>
      <c r="G221" s="29" t="s">
        <v>283</v>
      </c>
      <c r="H221" s="28" t="s">
        <v>285</v>
      </c>
      <c r="I221" s="28" t="s">
        <v>286</v>
      </c>
      <c r="J221" s="28" t="s">
        <v>58</v>
      </c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28">
        <f t="shared" si="3"/>
        <v>0</v>
      </c>
      <c r="AN221" s="28"/>
    </row>
    <row r="222" spans="1:40">
      <c r="A222" s="28">
        <v>220</v>
      </c>
      <c r="B222" s="29">
        <v>136203</v>
      </c>
      <c r="C222" s="28" t="s">
        <v>430</v>
      </c>
      <c r="D222" s="28"/>
      <c r="E222" s="28">
        <v>20260218</v>
      </c>
      <c r="F222" s="28"/>
      <c r="G222" s="29" t="s">
        <v>283</v>
      </c>
      <c r="H222" s="28" t="s">
        <v>285</v>
      </c>
      <c r="I222" s="28" t="s">
        <v>286</v>
      </c>
      <c r="J222" s="28" t="s">
        <v>54</v>
      </c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>
        <f t="shared" si="3"/>
        <v>0</v>
      </c>
      <c r="AN222" s="28"/>
    </row>
    <row r="223" spans="1:40">
      <c r="A223" s="28">
        <v>221</v>
      </c>
      <c r="B223" s="29">
        <v>700333</v>
      </c>
      <c r="C223" s="28" t="s">
        <v>425</v>
      </c>
      <c r="D223" s="28"/>
      <c r="E223" s="28">
        <v>20181101</v>
      </c>
      <c r="F223" s="28"/>
      <c r="G223" s="29" t="s">
        <v>283</v>
      </c>
      <c r="H223" s="28" t="s">
        <v>285</v>
      </c>
      <c r="I223" s="28" t="s">
        <v>286</v>
      </c>
      <c r="J223" s="28" t="s">
        <v>58</v>
      </c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28">
        <f t="shared" si="3"/>
        <v>0</v>
      </c>
      <c r="AN223" s="28"/>
    </row>
    <row r="224" spans="1:40">
      <c r="A224" s="28">
        <v>222</v>
      </c>
      <c r="B224" s="29">
        <v>100380</v>
      </c>
      <c r="C224" s="28" t="s">
        <v>290</v>
      </c>
      <c r="D224" s="28"/>
      <c r="E224" s="28">
        <v>20150601</v>
      </c>
      <c r="F224" s="28"/>
      <c r="G224" s="29" t="s">
        <v>283</v>
      </c>
      <c r="H224" s="28" t="s">
        <v>291</v>
      </c>
      <c r="I224" s="28" t="s">
        <v>292</v>
      </c>
      <c r="J224" s="28" t="s">
        <v>54</v>
      </c>
      <c r="K224" s="47"/>
      <c r="L224" s="47"/>
      <c r="M224" s="47"/>
      <c r="N224" s="47"/>
      <c r="O224" s="47"/>
      <c r="P224" s="47">
        <v>1</v>
      </c>
      <c r="Q224" s="47"/>
      <c r="R224" s="47"/>
      <c r="S224" s="47"/>
      <c r="T224" s="47">
        <v>1</v>
      </c>
      <c r="U224" s="47"/>
      <c r="V224" s="47"/>
      <c r="W224" s="47"/>
      <c r="X224" s="47"/>
      <c r="Y224" s="47"/>
      <c r="Z224" s="47"/>
      <c r="AA224" s="47"/>
      <c r="AB224" s="47"/>
      <c r="AC224" s="47">
        <v>1</v>
      </c>
      <c r="AD224" s="47"/>
      <c r="AE224" s="47"/>
      <c r="AF224" s="47"/>
      <c r="AG224" s="47">
        <v>1</v>
      </c>
      <c r="AH224" s="47"/>
      <c r="AI224" s="47"/>
      <c r="AJ224" s="47"/>
      <c r="AK224" s="47"/>
      <c r="AL224" s="47"/>
      <c r="AM224" s="28">
        <f t="shared" si="3"/>
        <v>4</v>
      </c>
      <c r="AN224" s="28"/>
    </row>
    <row r="225" spans="1:40">
      <c r="A225" s="28">
        <v>223</v>
      </c>
      <c r="B225" s="29">
        <v>104068</v>
      </c>
      <c r="C225" s="28" t="s">
        <v>300</v>
      </c>
      <c r="D225" s="28"/>
      <c r="E225" s="28">
        <v>20160906</v>
      </c>
      <c r="F225" s="28"/>
      <c r="G225" s="29" t="s">
        <v>283</v>
      </c>
      <c r="H225" s="28" t="s">
        <v>291</v>
      </c>
      <c r="I225" s="28" t="s">
        <v>292</v>
      </c>
      <c r="J225" s="28" t="s">
        <v>54</v>
      </c>
      <c r="K225" s="47"/>
      <c r="L225" s="47">
        <v>1</v>
      </c>
      <c r="M225" s="47"/>
      <c r="N225" s="47"/>
      <c r="O225" s="47"/>
      <c r="P225" s="47">
        <v>1</v>
      </c>
      <c r="Q225" s="47">
        <v>1</v>
      </c>
      <c r="R225" s="47"/>
      <c r="S225" s="47"/>
      <c r="T225" s="47">
        <v>1</v>
      </c>
      <c r="U225" s="47">
        <v>1</v>
      </c>
      <c r="V225" s="47"/>
      <c r="W225" s="47"/>
      <c r="X225" s="47">
        <v>1</v>
      </c>
      <c r="Y225" s="47"/>
      <c r="Z225" s="47"/>
      <c r="AA225" s="47"/>
      <c r="AB225" s="47"/>
      <c r="AC225" s="47"/>
      <c r="AD225" s="47">
        <v>1</v>
      </c>
      <c r="AE225" s="47">
        <v>1</v>
      </c>
      <c r="AF225" s="47"/>
      <c r="AG225" s="47"/>
      <c r="AH225" s="47">
        <v>1</v>
      </c>
      <c r="AI225" s="47">
        <v>1</v>
      </c>
      <c r="AJ225" s="47">
        <v>1</v>
      </c>
      <c r="AK225" s="47">
        <v>1</v>
      </c>
      <c r="AL225" s="47">
        <v>1</v>
      </c>
      <c r="AM225" s="28">
        <f t="shared" si="3"/>
        <v>13</v>
      </c>
      <c r="AN225" s="28"/>
    </row>
    <row r="226" spans="1:40">
      <c r="A226" s="28">
        <v>224</v>
      </c>
      <c r="B226" s="29">
        <v>113537</v>
      </c>
      <c r="C226" s="28" t="s">
        <v>321</v>
      </c>
      <c r="D226" s="28"/>
      <c r="E226" s="28">
        <v>20181206</v>
      </c>
      <c r="F226" s="28"/>
      <c r="G226" s="29" t="s">
        <v>283</v>
      </c>
      <c r="H226" s="28" t="s">
        <v>291</v>
      </c>
      <c r="I226" s="28" t="s">
        <v>292</v>
      </c>
      <c r="J226" s="28" t="s">
        <v>54</v>
      </c>
      <c r="K226" s="47"/>
      <c r="L226" s="47"/>
      <c r="M226" s="47">
        <v>1</v>
      </c>
      <c r="N226" s="47"/>
      <c r="O226" s="47">
        <v>1</v>
      </c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28">
        <f t="shared" si="3"/>
        <v>2</v>
      </c>
      <c r="AN226" s="28"/>
    </row>
    <row r="227" spans="1:40">
      <c r="A227" s="28">
        <v>225</v>
      </c>
      <c r="B227" s="29">
        <v>113562</v>
      </c>
      <c r="C227" s="28" t="s">
        <v>299</v>
      </c>
      <c r="D227" s="28"/>
      <c r="E227" s="28">
        <v>20181211</v>
      </c>
      <c r="F227" s="28"/>
      <c r="G227" s="29" t="s">
        <v>283</v>
      </c>
      <c r="H227" s="28" t="s">
        <v>291</v>
      </c>
      <c r="I227" s="28" t="s">
        <v>292</v>
      </c>
      <c r="J227" s="28" t="s">
        <v>54</v>
      </c>
      <c r="K227" s="47"/>
      <c r="L227" s="47"/>
      <c r="M227" s="47"/>
      <c r="N227" s="47"/>
      <c r="O227" s="47"/>
      <c r="P227" s="47">
        <v>1</v>
      </c>
      <c r="Q227" s="47"/>
      <c r="R227" s="47"/>
      <c r="S227" s="47">
        <v>1</v>
      </c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28">
        <f t="shared" si="3"/>
        <v>2</v>
      </c>
      <c r="AN227" s="28"/>
    </row>
    <row r="228" spans="1:40">
      <c r="A228" s="28">
        <v>226</v>
      </c>
      <c r="B228" s="29">
        <v>129787</v>
      </c>
      <c r="C228" s="28" t="s">
        <v>350</v>
      </c>
      <c r="D228" s="28"/>
      <c r="E228" s="28">
        <v>20240130</v>
      </c>
      <c r="F228" s="28"/>
      <c r="G228" s="29" t="s">
        <v>283</v>
      </c>
      <c r="H228" s="28" t="s">
        <v>291</v>
      </c>
      <c r="I228" s="28" t="s">
        <v>292</v>
      </c>
      <c r="J228" s="28" t="s">
        <v>58</v>
      </c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>
        <v>1</v>
      </c>
      <c r="AD228" s="47"/>
      <c r="AE228" s="47"/>
      <c r="AF228" s="47"/>
      <c r="AG228" s="47"/>
      <c r="AH228" s="47"/>
      <c r="AI228" s="47"/>
      <c r="AJ228" s="47"/>
      <c r="AK228" s="47"/>
      <c r="AL228" s="47"/>
      <c r="AM228" s="28">
        <f t="shared" si="3"/>
        <v>1</v>
      </c>
      <c r="AN228" s="28"/>
    </row>
    <row r="229" spans="1:40">
      <c r="A229" s="28">
        <v>227</v>
      </c>
      <c r="B229" s="29">
        <v>129788</v>
      </c>
      <c r="C229" s="28" t="s">
        <v>351</v>
      </c>
      <c r="D229" s="28"/>
      <c r="E229" s="28">
        <v>20240130</v>
      </c>
      <c r="F229" s="28"/>
      <c r="G229" s="29" t="s">
        <v>283</v>
      </c>
      <c r="H229" s="28" t="s">
        <v>291</v>
      </c>
      <c r="I229" s="28" t="s">
        <v>292</v>
      </c>
      <c r="J229" s="28" t="s">
        <v>54</v>
      </c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28">
        <f t="shared" si="3"/>
        <v>0</v>
      </c>
      <c r="AN229" s="28"/>
    </row>
    <row r="230" spans="1:40">
      <c r="A230" s="28">
        <v>228</v>
      </c>
      <c r="B230" s="45">
        <v>130326</v>
      </c>
      <c r="C230" s="44" t="s">
        <v>356</v>
      </c>
      <c r="D230" s="44"/>
      <c r="E230" s="44">
        <v>20240325</v>
      </c>
      <c r="F230" s="44">
        <v>20260220</v>
      </c>
      <c r="G230" s="45" t="s">
        <v>283</v>
      </c>
      <c r="H230" s="44" t="s">
        <v>291</v>
      </c>
      <c r="I230" s="44" t="s">
        <v>292</v>
      </c>
      <c r="J230" s="44" t="s">
        <v>54</v>
      </c>
      <c r="K230" s="47"/>
      <c r="L230" s="47"/>
      <c r="M230" s="47"/>
      <c r="N230" s="47"/>
      <c r="O230" s="47">
        <v>1</v>
      </c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28">
        <f t="shared" si="3"/>
        <v>1</v>
      </c>
      <c r="AN230" s="28"/>
    </row>
    <row r="231" spans="1:40">
      <c r="A231" s="28">
        <v>229</v>
      </c>
      <c r="B231" s="29">
        <v>131378</v>
      </c>
      <c r="C231" s="28" t="s">
        <v>363</v>
      </c>
      <c r="D231" s="28"/>
      <c r="E231" s="28">
        <v>20240806</v>
      </c>
      <c r="F231" s="28"/>
      <c r="G231" s="29" t="s">
        <v>283</v>
      </c>
      <c r="H231" s="28" t="s">
        <v>291</v>
      </c>
      <c r="I231" s="28" t="s">
        <v>292</v>
      </c>
      <c r="J231" s="28" t="s">
        <v>58</v>
      </c>
      <c r="K231" s="47"/>
      <c r="L231" s="47"/>
      <c r="M231" s="47"/>
      <c r="N231" s="47"/>
      <c r="O231" s="47"/>
      <c r="P231" s="47"/>
      <c r="Q231" s="47">
        <v>1</v>
      </c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28">
        <f t="shared" si="3"/>
        <v>1</v>
      </c>
      <c r="AN231" s="28"/>
    </row>
    <row r="232" spans="1:40">
      <c r="A232" s="28">
        <v>230</v>
      </c>
      <c r="B232" s="29">
        <v>131982</v>
      </c>
      <c r="C232" s="28" t="s">
        <v>293</v>
      </c>
      <c r="D232" s="28"/>
      <c r="E232" s="28">
        <v>20240913</v>
      </c>
      <c r="F232" s="28"/>
      <c r="G232" s="29" t="s">
        <v>283</v>
      </c>
      <c r="H232" s="28" t="s">
        <v>291</v>
      </c>
      <c r="I232" s="28" t="s">
        <v>292</v>
      </c>
      <c r="J232" s="28" t="s">
        <v>54</v>
      </c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28">
        <f t="shared" si="3"/>
        <v>0</v>
      </c>
      <c r="AN232" s="28"/>
    </row>
    <row r="233" spans="1:40">
      <c r="A233" s="28">
        <v>231</v>
      </c>
      <c r="B233" s="29">
        <v>133144</v>
      </c>
      <c r="C233" s="28" t="s">
        <v>375</v>
      </c>
      <c r="D233" s="28"/>
      <c r="E233" s="28">
        <v>20241128</v>
      </c>
      <c r="F233" s="28"/>
      <c r="G233" s="29" t="s">
        <v>283</v>
      </c>
      <c r="H233" s="28" t="s">
        <v>291</v>
      </c>
      <c r="I233" s="28" t="s">
        <v>292</v>
      </c>
      <c r="J233" s="28" t="s">
        <v>54</v>
      </c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28">
        <f t="shared" si="3"/>
        <v>0</v>
      </c>
      <c r="AN233" s="28"/>
    </row>
    <row r="234" spans="1:40">
      <c r="A234" s="28">
        <v>232</v>
      </c>
      <c r="B234" s="29">
        <v>133869</v>
      </c>
      <c r="C234" s="28" t="s">
        <v>387</v>
      </c>
      <c r="D234" s="28"/>
      <c r="E234" s="28">
        <v>20250219</v>
      </c>
      <c r="F234" s="28"/>
      <c r="G234" s="29" t="s">
        <v>283</v>
      </c>
      <c r="H234" s="28" t="s">
        <v>291</v>
      </c>
      <c r="I234" s="28" t="s">
        <v>292</v>
      </c>
      <c r="J234" s="28" t="s">
        <v>54</v>
      </c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28">
        <f t="shared" si="3"/>
        <v>0</v>
      </c>
      <c r="AN234" s="28"/>
    </row>
    <row r="235" spans="1:40">
      <c r="A235" s="28">
        <v>233</v>
      </c>
      <c r="B235" s="29">
        <v>134135</v>
      </c>
      <c r="C235" s="28" t="s">
        <v>391</v>
      </c>
      <c r="D235" s="28"/>
      <c r="E235" s="28">
        <v>20250317</v>
      </c>
      <c r="F235" s="28"/>
      <c r="G235" s="29" t="s">
        <v>283</v>
      </c>
      <c r="H235" s="28" t="s">
        <v>291</v>
      </c>
      <c r="I235" s="28" t="s">
        <v>292</v>
      </c>
      <c r="J235" s="28" t="s">
        <v>54</v>
      </c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28">
        <f t="shared" si="3"/>
        <v>0</v>
      </c>
      <c r="AN235" s="28"/>
    </row>
    <row r="236" spans="1:40">
      <c r="A236" s="28">
        <v>234</v>
      </c>
      <c r="B236" s="29">
        <v>134397</v>
      </c>
      <c r="C236" s="28" t="s">
        <v>392</v>
      </c>
      <c r="D236" s="28"/>
      <c r="E236" s="28">
        <v>20250423</v>
      </c>
      <c r="F236" s="28"/>
      <c r="G236" s="29" t="s">
        <v>283</v>
      </c>
      <c r="H236" s="28" t="s">
        <v>291</v>
      </c>
      <c r="I236" s="28" t="s">
        <v>292</v>
      </c>
      <c r="J236" s="28" t="s">
        <v>54</v>
      </c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28">
        <f t="shared" si="3"/>
        <v>0</v>
      </c>
      <c r="AN236" s="28"/>
    </row>
    <row r="237" spans="1:40">
      <c r="A237" s="28">
        <v>235</v>
      </c>
      <c r="B237" s="29">
        <v>134398</v>
      </c>
      <c r="C237" s="28" t="s">
        <v>393</v>
      </c>
      <c r="D237" s="28"/>
      <c r="E237" s="28">
        <v>20250423</v>
      </c>
      <c r="F237" s="28"/>
      <c r="G237" s="29" t="s">
        <v>283</v>
      </c>
      <c r="H237" s="28" t="s">
        <v>291</v>
      </c>
      <c r="I237" s="28" t="s">
        <v>292</v>
      </c>
      <c r="J237" s="28" t="s">
        <v>54</v>
      </c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28">
        <f t="shared" si="3"/>
        <v>0</v>
      </c>
      <c r="AN237" s="28"/>
    </row>
    <row r="238" spans="1:40">
      <c r="A238" s="28">
        <v>236</v>
      </c>
      <c r="B238" s="29">
        <v>135357</v>
      </c>
      <c r="C238" s="28" t="s">
        <v>404</v>
      </c>
      <c r="D238" s="28"/>
      <c r="E238" s="28">
        <v>20250826</v>
      </c>
      <c r="F238" s="28"/>
      <c r="G238" s="29" t="s">
        <v>283</v>
      </c>
      <c r="H238" s="28" t="s">
        <v>291</v>
      </c>
      <c r="I238" s="28" t="s">
        <v>292</v>
      </c>
      <c r="J238" s="28" t="s">
        <v>54</v>
      </c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28">
        <f t="shared" si="3"/>
        <v>0</v>
      </c>
      <c r="AN238" s="28"/>
    </row>
    <row r="239" spans="1:40">
      <c r="A239" s="28">
        <v>237</v>
      </c>
      <c r="B239" s="29">
        <v>108973</v>
      </c>
      <c r="C239" s="28" t="s">
        <v>310</v>
      </c>
      <c r="D239" s="28"/>
      <c r="E239" s="28">
        <v>20170606</v>
      </c>
      <c r="F239" s="28"/>
      <c r="G239" s="29" t="s">
        <v>283</v>
      </c>
      <c r="H239" s="28" t="s">
        <v>311</v>
      </c>
      <c r="I239" s="28" t="s">
        <v>312</v>
      </c>
      <c r="J239" s="28" t="s">
        <v>58</v>
      </c>
      <c r="K239" s="47"/>
      <c r="L239" s="47"/>
      <c r="M239" s="47"/>
      <c r="N239" s="47"/>
      <c r="O239" s="47"/>
      <c r="P239" s="47">
        <v>1</v>
      </c>
      <c r="Q239" s="47"/>
      <c r="R239" s="47"/>
      <c r="S239" s="47">
        <v>1</v>
      </c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>
        <v>1</v>
      </c>
      <c r="AK239" s="47"/>
      <c r="AL239" s="47"/>
      <c r="AM239" s="28">
        <f t="shared" si="3"/>
        <v>3</v>
      </c>
      <c r="AN239" s="28"/>
    </row>
    <row r="240" spans="1:40">
      <c r="A240" s="28">
        <v>238</v>
      </c>
      <c r="B240" s="29">
        <v>126333</v>
      </c>
      <c r="C240" s="28" t="s">
        <v>336</v>
      </c>
      <c r="D240" s="28"/>
      <c r="E240" s="28">
        <v>20220421</v>
      </c>
      <c r="F240" s="28"/>
      <c r="G240" s="29" t="s">
        <v>283</v>
      </c>
      <c r="H240" s="28" t="s">
        <v>311</v>
      </c>
      <c r="I240" s="28" t="s">
        <v>312</v>
      </c>
      <c r="J240" s="28" t="s">
        <v>58</v>
      </c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>
        <v>1</v>
      </c>
      <c r="AL240" s="47">
        <v>1</v>
      </c>
      <c r="AM240" s="28">
        <f t="shared" si="3"/>
        <v>2</v>
      </c>
      <c r="AN240" s="28"/>
    </row>
    <row r="241" spans="1:40">
      <c r="A241" s="28">
        <v>239</v>
      </c>
      <c r="B241" s="29">
        <v>127781</v>
      </c>
      <c r="C241" s="28" t="s">
        <v>343</v>
      </c>
      <c r="D241" s="28"/>
      <c r="E241" s="28">
        <v>20220621</v>
      </c>
      <c r="F241" s="28"/>
      <c r="G241" s="29" t="s">
        <v>283</v>
      </c>
      <c r="H241" s="28" t="s">
        <v>311</v>
      </c>
      <c r="I241" s="28" t="s">
        <v>312</v>
      </c>
      <c r="J241" s="28" t="s">
        <v>58</v>
      </c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28">
        <f t="shared" si="3"/>
        <v>0</v>
      </c>
      <c r="AN241" s="28"/>
    </row>
    <row r="242" spans="1:40">
      <c r="A242" s="28">
        <v>240</v>
      </c>
      <c r="B242" s="29">
        <v>130794</v>
      </c>
      <c r="C242" s="28" t="s">
        <v>357</v>
      </c>
      <c r="D242" s="28"/>
      <c r="E242" s="28">
        <v>20240502</v>
      </c>
      <c r="F242" s="28"/>
      <c r="G242" s="29" t="s">
        <v>283</v>
      </c>
      <c r="H242" s="28" t="s">
        <v>311</v>
      </c>
      <c r="I242" s="28" t="s">
        <v>312</v>
      </c>
      <c r="J242" s="28" t="s">
        <v>58</v>
      </c>
      <c r="K242" s="47"/>
      <c r="L242" s="47"/>
      <c r="M242" s="47">
        <v>1</v>
      </c>
      <c r="N242" s="47">
        <v>1</v>
      </c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28">
        <f t="shared" si="3"/>
        <v>2</v>
      </c>
      <c r="AN242" s="28"/>
    </row>
    <row r="243" spans="1:40">
      <c r="A243" s="28">
        <v>241</v>
      </c>
      <c r="B243" s="29">
        <v>130957</v>
      </c>
      <c r="C243" s="28" t="s">
        <v>359</v>
      </c>
      <c r="D243" s="28"/>
      <c r="E243" s="28">
        <v>20240520</v>
      </c>
      <c r="F243" s="28"/>
      <c r="G243" s="29" t="s">
        <v>283</v>
      </c>
      <c r="H243" s="28" t="s">
        <v>311</v>
      </c>
      <c r="I243" s="28" t="s">
        <v>312</v>
      </c>
      <c r="J243" s="28" t="s">
        <v>54</v>
      </c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28">
        <f t="shared" si="3"/>
        <v>0</v>
      </c>
      <c r="AN243" s="28"/>
    </row>
    <row r="244" spans="1:40">
      <c r="A244" s="28">
        <v>242</v>
      </c>
      <c r="B244" s="29">
        <v>130958</v>
      </c>
      <c r="C244" s="28" t="s">
        <v>360</v>
      </c>
      <c r="D244" s="28"/>
      <c r="E244" s="28">
        <v>20240520</v>
      </c>
      <c r="F244" s="28"/>
      <c r="G244" s="29" t="s">
        <v>283</v>
      </c>
      <c r="H244" s="28" t="s">
        <v>311</v>
      </c>
      <c r="I244" s="28" t="s">
        <v>312</v>
      </c>
      <c r="J244" s="28" t="s">
        <v>54</v>
      </c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>
        <v>1</v>
      </c>
      <c r="AH244" s="47"/>
      <c r="AI244" s="47"/>
      <c r="AJ244" s="47"/>
      <c r="AK244" s="47"/>
      <c r="AL244" s="47"/>
      <c r="AM244" s="28">
        <f t="shared" si="3"/>
        <v>1</v>
      </c>
      <c r="AN244" s="28"/>
    </row>
    <row r="245" spans="1:40">
      <c r="A245" s="28">
        <v>243</v>
      </c>
      <c r="B245" s="29">
        <v>131005</v>
      </c>
      <c r="C245" s="28" t="s">
        <v>361</v>
      </c>
      <c r="D245" s="28"/>
      <c r="E245" s="28">
        <v>20240530</v>
      </c>
      <c r="F245" s="28"/>
      <c r="G245" s="29" t="s">
        <v>283</v>
      </c>
      <c r="H245" s="28" t="s">
        <v>311</v>
      </c>
      <c r="I245" s="28" t="s">
        <v>312</v>
      </c>
      <c r="J245" s="28" t="s">
        <v>58</v>
      </c>
      <c r="K245" s="47"/>
      <c r="L245" s="47"/>
      <c r="M245" s="47">
        <v>1</v>
      </c>
      <c r="N245" s="47"/>
      <c r="O245" s="47"/>
      <c r="P245" s="47"/>
      <c r="Q245" s="47">
        <v>1</v>
      </c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>
        <v>1</v>
      </c>
      <c r="AE245" s="47"/>
      <c r="AF245" s="47"/>
      <c r="AG245" s="47"/>
      <c r="AH245" s="47"/>
      <c r="AI245" s="47"/>
      <c r="AJ245" s="47"/>
      <c r="AK245" s="47"/>
      <c r="AL245" s="47"/>
      <c r="AM245" s="28">
        <f t="shared" si="3"/>
        <v>3</v>
      </c>
      <c r="AN245" s="28"/>
    </row>
    <row r="246" spans="1:40">
      <c r="A246" s="28">
        <v>244</v>
      </c>
      <c r="B246" s="29">
        <v>132846</v>
      </c>
      <c r="C246" s="28" t="s">
        <v>371</v>
      </c>
      <c r="D246" s="28"/>
      <c r="E246" s="28">
        <v>20241106</v>
      </c>
      <c r="F246" s="28"/>
      <c r="G246" s="29" t="s">
        <v>283</v>
      </c>
      <c r="H246" s="28" t="s">
        <v>311</v>
      </c>
      <c r="I246" s="28" t="s">
        <v>312</v>
      </c>
      <c r="J246" s="28" t="s">
        <v>58</v>
      </c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28">
        <f t="shared" si="3"/>
        <v>0</v>
      </c>
      <c r="AN246" s="28"/>
    </row>
    <row r="247" spans="1:40">
      <c r="A247" s="28">
        <v>245</v>
      </c>
      <c r="B247" s="29">
        <v>133787</v>
      </c>
      <c r="C247" s="28" t="s">
        <v>385</v>
      </c>
      <c r="D247" s="28"/>
      <c r="E247" s="28">
        <v>20250213</v>
      </c>
      <c r="F247" s="28"/>
      <c r="G247" s="29" t="s">
        <v>283</v>
      </c>
      <c r="H247" s="28" t="s">
        <v>311</v>
      </c>
      <c r="I247" s="28" t="s">
        <v>312</v>
      </c>
      <c r="J247" s="28" t="s">
        <v>58</v>
      </c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28">
        <f t="shared" si="3"/>
        <v>0</v>
      </c>
      <c r="AN247" s="28"/>
    </row>
    <row r="248" spans="1:40">
      <c r="A248" s="28">
        <v>246</v>
      </c>
      <c r="B248" s="29">
        <v>133825</v>
      </c>
      <c r="C248" s="28" t="s">
        <v>386</v>
      </c>
      <c r="D248" s="28"/>
      <c r="E248" s="28">
        <v>20250217</v>
      </c>
      <c r="F248" s="28"/>
      <c r="G248" s="29" t="s">
        <v>283</v>
      </c>
      <c r="H248" s="28" t="s">
        <v>311</v>
      </c>
      <c r="I248" s="28" t="s">
        <v>312</v>
      </c>
      <c r="J248" s="28" t="s">
        <v>58</v>
      </c>
      <c r="K248" s="47"/>
      <c r="L248" s="47"/>
      <c r="M248" s="47"/>
      <c r="N248" s="47"/>
      <c r="O248" s="47"/>
      <c r="P248" s="47"/>
      <c r="Q248" s="47">
        <v>1</v>
      </c>
      <c r="R248" s="47"/>
      <c r="S248" s="47"/>
      <c r="T248" s="47"/>
      <c r="U248" s="47"/>
      <c r="V248" s="47"/>
      <c r="W248" s="47"/>
      <c r="X248" s="47">
        <v>1</v>
      </c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28">
        <f t="shared" si="3"/>
        <v>2</v>
      </c>
      <c r="AN248" s="28"/>
    </row>
    <row r="249" spans="1:40">
      <c r="A249" s="28">
        <v>247</v>
      </c>
      <c r="B249" s="29">
        <v>134926</v>
      </c>
      <c r="C249" s="28" t="s">
        <v>396</v>
      </c>
      <c r="D249" s="28"/>
      <c r="E249" s="28">
        <v>20250515</v>
      </c>
      <c r="F249" s="28"/>
      <c r="G249" s="29" t="s">
        <v>283</v>
      </c>
      <c r="H249" s="28" t="s">
        <v>311</v>
      </c>
      <c r="I249" s="28" t="s">
        <v>312</v>
      </c>
      <c r="J249" s="28" t="s">
        <v>58</v>
      </c>
      <c r="K249" s="47"/>
      <c r="L249" s="47"/>
      <c r="M249" s="47">
        <v>1</v>
      </c>
      <c r="N249" s="47">
        <v>1</v>
      </c>
      <c r="O249" s="47"/>
      <c r="P249" s="47"/>
      <c r="Q249" s="47"/>
      <c r="R249" s="47"/>
      <c r="S249" s="47"/>
      <c r="T249" s="47"/>
      <c r="U249" s="47"/>
      <c r="V249" s="47"/>
      <c r="W249" s="47"/>
      <c r="X249" s="47">
        <v>1</v>
      </c>
      <c r="Y249" s="47"/>
      <c r="Z249" s="47"/>
      <c r="AA249" s="47"/>
      <c r="AB249" s="47"/>
      <c r="AC249" s="47">
        <v>1</v>
      </c>
      <c r="AD249" s="47"/>
      <c r="AE249" s="47">
        <v>1</v>
      </c>
      <c r="AF249" s="47"/>
      <c r="AG249" s="47">
        <v>1</v>
      </c>
      <c r="AH249" s="47"/>
      <c r="AI249" s="47"/>
      <c r="AJ249" s="47"/>
      <c r="AK249" s="47"/>
      <c r="AL249" s="47"/>
      <c r="AM249" s="28">
        <f t="shared" si="3"/>
        <v>6</v>
      </c>
      <c r="AN249" s="28"/>
    </row>
    <row r="250" spans="1:40">
      <c r="A250" s="28">
        <v>248</v>
      </c>
      <c r="B250" s="29">
        <v>135505</v>
      </c>
      <c r="C250" s="28" t="s">
        <v>407</v>
      </c>
      <c r="D250" s="28"/>
      <c r="E250" s="28">
        <v>20250923</v>
      </c>
      <c r="F250" s="28"/>
      <c r="G250" s="29" t="s">
        <v>283</v>
      </c>
      <c r="H250" s="28" t="s">
        <v>311</v>
      </c>
      <c r="I250" s="28" t="s">
        <v>312</v>
      </c>
      <c r="J250" s="28" t="s">
        <v>54</v>
      </c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28">
        <f t="shared" si="3"/>
        <v>0</v>
      </c>
      <c r="AN250" s="28"/>
    </row>
    <row r="251" spans="1:40">
      <c r="A251" s="28">
        <v>249</v>
      </c>
      <c r="B251" s="29">
        <v>135550</v>
      </c>
      <c r="C251" s="28" t="s">
        <v>409</v>
      </c>
      <c r="D251" s="28"/>
      <c r="E251" s="28">
        <v>20251008</v>
      </c>
      <c r="F251" s="28"/>
      <c r="G251" s="29" t="s">
        <v>283</v>
      </c>
      <c r="H251" s="28" t="s">
        <v>311</v>
      </c>
      <c r="I251" s="28" t="s">
        <v>312</v>
      </c>
      <c r="J251" s="28" t="s">
        <v>58</v>
      </c>
      <c r="K251" s="47"/>
      <c r="L251" s="47">
        <v>1</v>
      </c>
      <c r="M251" s="47">
        <v>1</v>
      </c>
      <c r="N251" s="47"/>
      <c r="O251" s="47"/>
      <c r="P251" s="47"/>
      <c r="Q251" s="47"/>
      <c r="R251" s="47"/>
      <c r="S251" s="47">
        <v>1</v>
      </c>
      <c r="T251" s="47">
        <v>1</v>
      </c>
      <c r="U251" s="47">
        <v>1</v>
      </c>
      <c r="V251" s="47"/>
      <c r="W251" s="47"/>
      <c r="X251" s="47"/>
      <c r="Y251" s="47"/>
      <c r="Z251" s="47"/>
      <c r="AA251" s="47"/>
      <c r="AB251" s="47">
        <v>1</v>
      </c>
      <c r="AC251" s="47">
        <v>1</v>
      </c>
      <c r="AD251" s="47"/>
      <c r="AE251" s="47">
        <v>1</v>
      </c>
      <c r="AF251" s="47"/>
      <c r="AG251" s="47"/>
      <c r="AH251" s="47"/>
      <c r="AI251" s="47">
        <v>1</v>
      </c>
      <c r="AJ251" s="47">
        <v>1</v>
      </c>
      <c r="AK251" s="47"/>
      <c r="AL251" s="47"/>
      <c r="AM251" s="28">
        <f t="shared" si="3"/>
        <v>10</v>
      </c>
      <c r="AN251" s="28"/>
    </row>
    <row r="252" spans="1:40">
      <c r="A252" s="28">
        <v>250</v>
      </c>
      <c r="B252" s="29">
        <v>135551</v>
      </c>
      <c r="C252" s="28" t="s">
        <v>410</v>
      </c>
      <c r="D252" s="28"/>
      <c r="E252" s="28">
        <v>20251008</v>
      </c>
      <c r="F252" s="28"/>
      <c r="G252" s="29" t="s">
        <v>283</v>
      </c>
      <c r="H252" s="28" t="s">
        <v>311</v>
      </c>
      <c r="I252" s="28" t="s">
        <v>312</v>
      </c>
      <c r="J252" s="28" t="s">
        <v>54</v>
      </c>
      <c r="K252" s="47"/>
      <c r="L252" s="47">
        <v>1</v>
      </c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28">
        <f t="shared" si="3"/>
        <v>1</v>
      </c>
      <c r="AN252" s="28"/>
    </row>
    <row r="253" spans="1:40">
      <c r="A253" s="28">
        <v>251</v>
      </c>
      <c r="B253" s="29">
        <v>135868</v>
      </c>
      <c r="C253" s="28" t="s">
        <v>415</v>
      </c>
      <c r="D253" s="28"/>
      <c r="E253" s="28">
        <v>20251215</v>
      </c>
      <c r="F253" s="28"/>
      <c r="G253" s="29" t="s">
        <v>283</v>
      </c>
      <c r="H253" s="28" t="s">
        <v>311</v>
      </c>
      <c r="I253" s="28" t="s">
        <v>312</v>
      </c>
      <c r="J253" s="28" t="s">
        <v>54</v>
      </c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28">
        <f t="shared" si="3"/>
        <v>0</v>
      </c>
      <c r="AN253" s="28"/>
    </row>
    <row r="254" spans="1:40">
      <c r="A254" s="28">
        <v>252</v>
      </c>
      <c r="B254" s="29">
        <v>135913</v>
      </c>
      <c r="C254" s="28" t="s">
        <v>346</v>
      </c>
      <c r="D254" s="28"/>
      <c r="E254" s="28">
        <v>20251222</v>
      </c>
      <c r="F254" s="28"/>
      <c r="G254" s="29" t="s">
        <v>283</v>
      </c>
      <c r="H254" s="28" t="s">
        <v>311</v>
      </c>
      <c r="I254" s="28" t="s">
        <v>312</v>
      </c>
      <c r="J254" s="28" t="s">
        <v>54</v>
      </c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28">
        <f t="shared" si="3"/>
        <v>0</v>
      </c>
      <c r="AN254" s="28"/>
    </row>
    <row r="255" spans="1:40">
      <c r="A255" s="28">
        <v>253</v>
      </c>
      <c r="B255" s="29">
        <v>135959</v>
      </c>
      <c r="C255" s="28" t="s">
        <v>368</v>
      </c>
      <c r="D255" s="28"/>
      <c r="E255" s="28">
        <v>20260107</v>
      </c>
      <c r="F255" s="28"/>
      <c r="G255" s="29" t="s">
        <v>283</v>
      </c>
      <c r="H255" s="28" t="s">
        <v>311</v>
      </c>
      <c r="I255" s="28" t="s">
        <v>312</v>
      </c>
      <c r="J255" s="28" t="s">
        <v>58</v>
      </c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28">
        <f t="shared" si="3"/>
        <v>0</v>
      </c>
      <c r="AN255" s="28"/>
    </row>
    <row r="256" spans="1:40">
      <c r="A256" s="28">
        <v>254</v>
      </c>
      <c r="B256" s="29">
        <v>136126</v>
      </c>
      <c r="C256" s="28" t="s">
        <v>429</v>
      </c>
      <c r="D256" s="28"/>
      <c r="E256" s="28">
        <v>20260203</v>
      </c>
      <c r="F256" s="28"/>
      <c r="G256" s="29" t="s">
        <v>283</v>
      </c>
      <c r="H256" s="28" t="s">
        <v>311</v>
      </c>
      <c r="I256" s="28" t="s">
        <v>312</v>
      </c>
      <c r="J256" s="28" t="s">
        <v>54</v>
      </c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>
        <f t="shared" si="3"/>
        <v>0</v>
      </c>
      <c r="AN256" s="28"/>
    </row>
    <row r="257" spans="1:40">
      <c r="A257" s="28">
        <v>255</v>
      </c>
      <c r="B257" s="29">
        <v>101346</v>
      </c>
      <c r="C257" s="28" t="s">
        <v>294</v>
      </c>
      <c r="D257" s="28"/>
      <c r="E257" s="28">
        <v>20151201</v>
      </c>
      <c r="F257" s="28"/>
      <c r="G257" s="29" t="s">
        <v>283</v>
      </c>
      <c r="H257" s="28" t="s">
        <v>295</v>
      </c>
      <c r="I257" s="28" t="s">
        <v>22</v>
      </c>
      <c r="J257" s="28" t="s">
        <v>54</v>
      </c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>
        <v>1</v>
      </c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28">
        <f t="shared" si="3"/>
        <v>1</v>
      </c>
      <c r="AN257" s="28"/>
    </row>
    <row r="258" spans="1:40">
      <c r="A258" s="28">
        <v>256</v>
      </c>
      <c r="B258" s="29">
        <v>103928</v>
      </c>
      <c r="C258" s="28" t="s">
        <v>298</v>
      </c>
      <c r="D258" s="28"/>
      <c r="E258" s="28">
        <v>20160825</v>
      </c>
      <c r="F258" s="28"/>
      <c r="G258" s="29" t="s">
        <v>283</v>
      </c>
      <c r="H258" s="28" t="s">
        <v>295</v>
      </c>
      <c r="I258" s="28" t="s">
        <v>22</v>
      </c>
      <c r="J258" s="28" t="s">
        <v>54</v>
      </c>
      <c r="K258" s="47"/>
      <c r="L258" s="47"/>
      <c r="M258" s="47">
        <v>1</v>
      </c>
      <c r="N258" s="47"/>
      <c r="O258" s="47">
        <v>1</v>
      </c>
      <c r="P258" s="47"/>
      <c r="Q258" s="47">
        <v>1</v>
      </c>
      <c r="R258" s="47"/>
      <c r="S258" s="47"/>
      <c r="T258" s="47"/>
      <c r="U258" s="47"/>
      <c r="V258" s="47"/>
      <c r="W258" s="47"/>
      <c r="X258" s="47">
        <v>1</v>
      </c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>
        <v>1</v>
      </c>
      <c r="AL258" s="47"/>
      <c r="AM258" s="28">
        <f t="shared" si="3"/>
        <v>5</v>
      </c>
      <c r="AN258" s="28"/>
    </row>
    <row r="259" spans="1:40">
      <c r="A259" s="28">
        <v>257</v>
      </c>
      <c r="B259" s="29">
        <v>103964</v>
      </c>
      <c r="C259" s="28" t="s">
        <v>299</v>
      </c>
      <c r="D259" s="28"/>
      <c r="E259" s="28">
        <v>20160825</v>
      </c>
      <c r="F259" s="28"/>
      <c r="G259" s="29" t="s">
        <v>283</v>
      </c>
      <c r="H259" s="28" t="s">
        <v>295</v>
      </c>
      <c r="I259" s="28" t="s">
        <v>22</v>
      </c>
      <c r="J259" s="28" t="s">
        <v>54</v>
      </c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28">
        <f t="shared" ref="AM259:AM322" si="4">SUM(K259:AL259)</f>
        <v>0</v>
      </c>
      <c r="AN259" s="28"/>
    </row>
    <row r="260" spans="1:40">
      <c r="A260" s="28">
        <v>258</v>
      </c>
      <c r="B260" s="29">
        <v>108851</v>
      </c>
      <c r="C260" s="28" t="s">
        <v>309</v>
      </c>
      <c r="D260" s="28"/>
      <c r="E260" s="28">
        <v>20170525</v>
      </c>
      <c r="F260" s="28"/>
      <c r="G260" s="29" t="s">
        <v>283</v>
      </c>
      <c r="H260" s="28" t="s">
        <v>295</v>
      </c>
      <c r="I260" s="28" t="s">
        <v>22</v>
      </c>
      <c r="J260" s="28" t="s">
        <v>54</v>
      </c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>
        <v>1</v>
      </c>
      <c r="AL260" s="47"/>
      <c r="AM260" s="28">
        <f t="shared" si="4"/>
        <v>1</v>
      </c>
      <c r="AN260" s="28"/>
    </row>
    <row r="261" spans="1:40">
      <c r="A261" s="28">
        <v>259</v>
      </c>
      <c r="B261" s="29">
        <v>109016</v>
      </c>
      <c r="C261" s="28" t="s">
        <v>313</v>
      </c>
      <c r="D261" s="28"/>
      <c r="E261" s="28">
        <v>20170613</v>
      </c>
      <c r="F261" s="28"/>
      <c r="G261" s="29" t="s">
        <v>283</v>
      </c>
      <c r="H261" s="28" t="s">
        <v>295</v>
      </c>
      <c r="I261" s="28" t="s">
        <v>22</v>
      </c>
      <c r="J261" s="28" t="s">
        <v>58</v>
      </c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>
        <v>1</v>
      </c>
      <c r="AK261" s="47"/>
      <c r="AL261" s="47"/>
      <c r="AM261" s="28">
        <f t="shared" si="4"/>
        <v>1</v>
      </c>
      <c r="AN261" s="28"/>
    </row>
    <row r="262" spans="1:40">
      <c r="A262" s="28">
        <v>260</v>
      </c>
      <c r="B262" s="29">
        <v>110450</v>
      </c>
      <c r="C262" s="28" t="s">
        <v>318</v>
      </c>
      <c r="D262" s="28"/>
      <c r="E262" s="28">
        <v>20180222</v>
      </c>
      <c r="F262" s="28"/>
      <c r="G262" s="29" t="s">
        <v>283</v>
      </c>
      <c r="H262" s="28" t="s">
        <v>295</v>
      </c>
      <c r="I262" s="28" t="s">
        <v>22</v>
      </c>
      <c r="J262" s="28" t="s">
        <v>58</v>
      </c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>
        <v>1</v>
      </c>
      <c r="V262" s="47"/>
      <c r="W262" s="47"/>
      <c r="X262" s="47"/>
      <c r="Y262" s="47"/>
      <c r="Z262" s="47"/>
      <c r="AA262" s="47"/>
      <c r="AB262" s="47">
        <v>1</v>
      </c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28">
        <f t="shared" si="4"/>
        <v>2</v>
      </c>
      <c r="AN262" s="28"/>
    </row>
    <row r="263" spans="1:40">
      <c r="A263" s="28">
        <v>261</v>
      </c>
      <c r="B263" s="29">
        <v>117760</v>
      </c>
      <c r="C263" s="28" t="s">
        <v>323</v>
      </c>
      <c r="D263" s="28"/>
      <c r="E263" s="28">
        <v>20191022</v>
      </c>
      <c r="F263" s="28"/>
      <c r="G263" s="29" t="s">
        <v>283</v>
      </c>
      <c r="H263" s="28" t="s">
        <v>295</v>
      </c>
      <c r="I263" s="28" t="s">
        <v>22</v>
      </c>
      <c r="J263" s="28" t="s">
        <v>54</v>
      </c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28">
        <f t="shared" si="4"/>
        <v>0</v>
      </c>
      <c r="AN263" s="28"/>
    </row>
    <row r="264" spans="1:40">
      <c r="A264" s="28">
        <v>262</v>
      </c>
      <c r="B264" s="29">
        <v>117894</v>
      </c>
      <c r="C264" s="28" t="s">
        <v>324</v>
      </c>
      <c r="D264" s="28"/>
      <c r="E264" s="28">
        <v>20191022</v>
      </c>
      <c r="F264" s="28"/>
      <c r="G264" s="29" t="s">
        <v>283</v>
      </c>
      <c r="H264" s="28" t="s">
        <v>295</v>
      </c>
      <c r="I264" s="28" t="s">
        <v>22</v>
      </c>
      <c r="J264" s="28" t="s">
        <v>54</v>
      </c>
      <c r="K264" s="47"/>
      <c r="L264" s="47"/>
      <c r="M264" s="47">
        <v>1</v>
      </c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>
        <v>1</v>
      </c>
      <c r="AE264" s="47">
        <v>1</v>
      </c>
      <c r="AF264" s="47"/>
      <c r="AG264" s="47">
        <v>1</v>
      </c>
      <c r="AH264" s="47">
        <v>1</v>
      </c>
      <c r="AI264" s="47"/>
      <c r="AJ264" s="47">
        <v>1</v>
      </c>
      <c r="AK264" s="47">
        <v>1</v>
      </c>
      <c r="AL264" s="47"/>
      <c r="AM264" s="28">
        <f t="shared" si="4"/>
        <v>7</v>
      </c>
      <c r="AN264" s="28"/>
    </row>
    <row r="265" spans="1:40">
      <c r="A265" s="28">
        <v>263</v>
      </c>
      <c r="B265" s="29">
        <v>118195</v>
      </c>
      <c r="C265" s="28" t="s">
        <v>326</v>
      </c>
      <c r="D265" s="28"/>
      <c r="E265" s="28">
        <v>20191029</v>
      </c>
      <c r="F265" s="28"/>
      <c r="G265" s="29" t="s">
        <v>283</v>
      </c>
      <c r="H265" s="28" t="s">
        <v>295</v>
      </c>
      <c r="I265" s="28" t="s">
        <v>22</v>
      </c>
      <c r="J265" s="28" t="s">
        <v>54</v>
      </c>
      <c r="K265" s="47"/>
      <c r="L265" s="47"/>
      <c r="M265" s="47"/>
      <c r="N265" s="47"/>
      <c r="O265" s="47"/>
      <c r="P265" s="47">
        <v>1</v>
      </c>
      <c r="Q265" s="47"/>
      <c r="R265" s="47"/>
      <c r="S265" s="47"/>
      <c r="T265" s="47"/>
      <c r="U265" s="47">
        <v>1</v>
      </c>
      <c r="V265" s="47"/>
      <c r="W265" s="47"/>
      <c r="X265" s="47"/>
      <c r="Y265" s="47"/>
      <c r="Z265" s="47"/>
      <c r="AA265" s="47"/>
      <c r="AB265" s="47"/>
      <c r="AC265" s="47"/>
      <c r="AD265" s="47"/>
      <c r="AE265" s="47">
        <v>1</v>
      </c>
      <c r="AF265" s="47"/>
      <c r="AG265" s="47">
        <v>1</v>
      </c>
      <c r="AH265" s="47"/>
      <c r="AI265" s="47"/>
      <c r="AJ265" s="47"/>
      <c r="AK265" s="47"/>
      <c r="AL265" s="47"/>
      <c r="AM265" s="28">
        <f t="shared" si="4"/>
        <v>4</v>
      </c>
      <c r="AN265" s="28"/>
    </row>
    <row r="266" spans="1:40">
      <c r="A266" s="28">
        <v>264</v>
      </c>
      <c r="B266" s="29">
        <v>118835</v>
      </c>
      <c r="C266" s="28" t="s">
        <v>328</v>
      </c>
      <c r="D266" s="28"/>
      <c r="E266" s="28">
        <v>20191210</v>
      </c>
      <c r="F266" s="28"/>
      <c r="G266" s="29" t="s">
        <v>283</v>
      </c>
      <c r="H266" s="28" t="s">
        <v>295</v>
      </c>
      <c r="I266" s="28" t="s">
        <v>22</v>
      </c>
      <c r="J266" s="28" t="s">
        <v>58</v>
      </c>
      <c r="K266" s="47"/>
      <c r="L266" s="47"/>
      <c r="M266" s="47"/>
      <c r="N266" s="47">
        <v>1</v>
      </c>
      <c r="O266" s="47"/>
      <c r="P266" s="47">
        <v>1</v>
      </c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>
        <v>1</v>
      </c>
      <c r="AJ266" s="47">
        <v>1</v>
      </c>
      <c r="AK266" s="47"/>
      <c r="AL266" s="47"/>
      <c r="AM266" s="28">
        <f t="shared" si="4"/>
        <v>4</v>
      </c>
      <c r="AN266" s="28"/>
    </row>
    <row r="267" spans="1:40">
      <c r="A267" s="28">
        <v>265</v>
      </c>
      <c r="B267" s="29">
        <v>126432</v>
      </c>
      <c r="C267" s="28" t="s">
        <v>337</v>
      </c>
      <c r="D267" s="28"/>
      <c r="E267" s="28">
        <v>20220421</v>
      </c>
      <c r="F267" s="28"/>
      <c r="G267" s="29" t="s">
        <v>283</v>
      </c>
      <c r="H267" s="28" t="s">
        <v>295</v>
      </c>
      <c r="I267" s="28" t="s">
        <v>22</v>
      </c>
      <c r="J267" s="28" t="s">
        <v>54</v>
      </c>
      <c r="K267" s="47"/>
      <c r="L267" s="47"/>
      <c r="M267" s="47"/>
      <c r="N267" s="47">
        <v>1</v>
      </c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>
        <v>1</v>
      </c>
      <c r="AH267" s="47"/>
      <c r="AI267" s="47"/>
      <c r="AJ267" s="47"/>
      <c r="AK267" s="47"/>
      <c r="AL267" s="47"/>
      <c r="AM267" s="28">
        <f t="shared" si="4"/>
        <v>2</v>
      </c>
      <c r="AN267" s="28"/>
    </row>
    <row r="268" spans="1:40">
      <c r="A268" s="28">
        <v>266</v>
      </c>
      <c r="B268" s="29">
        <v>129354</v>
      </c>
      <c r="C268" s="28" t="s">
        <v>347</v>
      </c>
      <c r="D268" s="28"/>
      <c r="E268" s="28">
        <v>20231226</v>
      </c>
      <c r="F268" s="28"/>
      <c r="G268" s="29" t="s">
        <v>283</v>
      </c>
      <c r="H268" s="28" t="s">
        <v>295</v>
      </c>
      <c r="I268" s="28" t="s">
        <v>22</v>
      </c>
      <c r="J268" s="28" t="s">
        <v>58</v>
      </c>
      <c r="K268" s="47"/>
      <c r="L268" s="47"/>
      <c r="M268" s="47"/>
      <c r="N268" s="47"/>
      <c r="O268" s="47"/>
      <c r="P268" s="47"/>
      <c r="Q268" s="47">
        <v>1</v>
      </c>
      <c r="R268" s="47"/>
      <c r="S268" s="47"/>
      <c r="T268" s="47">
        <v>1</v>
      </c>
      <c r="U268" s="47"/>
      <c r="V268" s="47"/>
      <c r="W268" s="47"/>
      <c r="X268" s="47"/>
      <c r="Y268" s="47"/>
      <c r="Z268" s="47"/>
      <c r="AA268" s="47"/>
      <c r="AB268" s="47">
        <v>1</v>
      </c>
      <c r="AC268" s="47">
        <v>1</v>
      </c>
      <c r="AD268" s="47"/>
      <c r="AE268" s="47"/>
      <c r="AF268" s="47"/>
      <c r="AG268" s="47"/>
      <c r="AH268" s="47"/>
      <c r="AI268" s="47"/>
      <c r="AJ268" s="47"/>
      <c r="AK268" s="47"/>
      <c r="AL268" s="47"/>
      <c r="AM268" s="28">
        <f t="shared" si="4"/>
        <v>4</v>
      </c>
      <c r="AN268" s="28"/>
    </row>
    <row r="269" spans="1:40">
      <c r="A269" s="28">
        <v>267</v>
      </c>
      <c r="B269" s="29">
        <v>129376</v>
      </c>
      <c r="C269" s="28" t="s">
        <v>348</v>
      </c>
      <c r="D269" s="28"/>
      <c r="E269" s="28">
        <v>20231228</v>
      </c>
      <c r="F269" s="28"/>
      <c r="G269" s="29" t="s">
        <v>283</v>
      </c>
      <c r="H269" s="28" t="s">
        <v>295</v>
      </c>
      <c r="I269" s="28" t="s">
        <v>22</v>
      </c>
      <c r="J269" s="28" t="s">
        <v>54</v>
      </c>
      <c r="K269" s="47"/>
      <c r="L269" s="47"/>
      <c r="M269" s="47">
        <v>1</v>
      </c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>
        <v>1</v>
      </c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28">
        <f t="shared" si="4"/>
        <v>2</v>
      </c>
      <c r="AN269" s="28"/>
    </row>
    <row r="270" spans="1:40">
      <c r="A270" s="28">
        <v>268</v>
      </c>
      <c r="B270" s="41">
        <v>129733</v>
      </c>
      <c r="C270" s="40" t="s">
        <v>349</v>
      </c>
      <c r="D270" s="40"/>
      <c r="E270" s="40">
        <v>20240123</v>
      </c>
      <c r="F270" s="40">
        <v>20260221</v>
      </c>
      <c r="G270" s="41" t="s">
        <v>283</v>
      </c>
      <c r="H270" s="40" t="s">
        <v>295</v>
      </c>
      <c r="I270" s="40" t="s">
        <v>22</v>
      </c>
      <c r="J270" s="40" t="s">
        <v>58</v>
      </c>
      <c r="K270" s="47"/>
      <c r="L270" s="47"/>
      <c r="M270" s="47">
        <v>1</v>
      </c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28">
        <f t="shared" si="4"/>
        <v>1</v>
      </c>
      <c r="AN270" s="28"/>
    </row>
    <row r="271" spans="1:40">
      <c r="A271" s="28">
        <v>269</v>
      </c>
      <c r="B271" s="29">
        <v>129789</v>
      </c>
      <c r="C271" s="28" t="s">
        <v>352</v>
      </c>
      <c r="D271" s="28"/>
      <c r="E271" s="28">
        <v>20240130</v>
      </c>
      <c r="F271" s="28"/>
      <c r="G271" s="29" t="s">
        <v>283</v>
      </c>
      <c r="H271" s="28" t="s">
        <v>295</v>
      </c>
      <c r="I271" s="28" t="s">
        <v>22</v>
      </c>
      <c r="J271" s="28" t="s">
        <v>54</v>
      </c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28">
        <f t="shared" si="4"/>
        <v>0</v>
      </c>
      <c r="AN271" s="28"/>
    </row>
    <row r="272" spans="1:40">
      <c r="A272" s="28">
        <v>270</v>
      </c>
      <c r="B272" s="29">
        <v>130252</v>
      </c>
      <c r="C272" s="28" t="s">
        <v>354</v>
      </c>
      <c r="D272" s="28"/>
      <c r="E272" s="28">
        <v>20240319</v>
      </c>
      <c r="F272" s="28"/>
      <c r="G272" s="29" t="s">
        <v>283</v>
      </c>
      <c r="H272" s="28" t="s">
        <v>295</v>
      </c>
      <c r="I272" s="28" t="s">
        <v>22</v>
      </c>
      <c r="J272" s="28" t="s">
        <v>58</v>
      </c>
      <c r="K272" s="47"/>
      <c r="L272" s="47"/>
      <c r="M272" s="47"/>
      <c r="N272" s="47">
        <v>1</v>
      </c>
      <c r="O272" s="47"/>
      <c r="P272" s="47">
        <v>1</v>
      </c>
      <c r="Q272" s="47"/>
      <c r="R272" s="47"/>
      <c r="S272" s="47"/>
      <c r="T272" s="47"/>
      <c r="U272" s="47"/>
      <c r="V272" s="47"/>
      <c r="W272" s="47"/>
      <c r="X272" s="47">
        <v>1</v>
      </c>
      <c r="Y272" s="47"/>
      <c r="Z272" s="47"/>
      <c r="AA272" s="47"/>
      <c r="AB272" s="47"/>
      <c r="AC272" s="47"/>
      <c r="AD272" s="47">
        <v>1</v>
      </c>
      <c r="AE272" s="47"/>
      <c r="AF272" s="47"/>
      <c r="AG272" s="47"/>
      <c r="AH272" s="47"/>
      <c r="AI272" s="47"/>
      <c r="AJ272" s="47"/>
      <c r="AK272" s="47"/>
      <c r="AL272" s="47"/>
      <c r="AM272" s="28">
        <f t="shared" si="4"/>
        <v>4</v>
      </c>
      <c r="AN272" s="28"/>
    </row>
    <row r="273" spans="1:40">
      <c r="A273" s="28">
        <v>271</v>
      </c>
      <c r="B273" s="29">
        <v>131619</v>
      </c>
      <c r="C273" s="28" t="s">
        <v>364</v>
      </c>
      <c r="D273" s="28"/>
      <c r="E273" s="28">
        <v>20240827</v>
      </c>
      <c r="F273" s="28"/>
      <c r="G273" s="29" t="s">
        <v>283</v>
      </c>
      <c r="H273" s="28" t="s">
        <v>295</v>
      </c>
      <c r="I273" s="28" t="s">
        <v>22</v>
      </c>
      <c r="J273" s="28" t="s">
        <v>58</v>
      </c>
      <c r="K273" s="47"/>
      <c r="L273" s="47"/>
      <c r="M273" s="47"/>
      <c r="N273" s="47">
        <v>1</v>
      </c>
      <c r="O273" s="47"/>
      <c r="P273" s="47"/>
      <c r="Q273" s="47"/>
      <c r="R273" s="47"/>
      <c r="S273" s="47">
        <v>1</v>
      </c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>
        <v>1</v>
      </c>
      <c r="AF273" s="47"/>
      <c r="AG273" s="47"/>
      <c r="AH273" s="47">
        <v>1</v>
      </c>
      <c r="AI273" s="47"/>
      <c r="AJ273" s="47"/>
      <c r="AK273" s="47"/>
      <c r="AL273" s="47"/>
      <c r="AM273" s="28">
        <f t="shared" si="4"/>
        <v>4</v>
      </c>
      <c r="AN273" s="28"/>
    </row>
    <row r="274" spans="1:40">
      <c r="A274" s="28">
        <v>272</v>
      </c>
      <c r="B274" s="29">
        <v>133374</v>
      </c>
      <c r="C274" s="28" t="s">
        <v>376</v>
      </c>
      <c r="D274" s="28"/>
      <c r="E274" s="28">
        <v>20241220</v>
      </c>
      <c r="F274" s="28"/>
      <c r="G274" s="29" t="s">
        <v>283</v>
      </c>
      <c r="H274" s="28" t="s">
        <v>295</v>
      </c>
      <c r="I274" s="28" t="s">
        <v>22</v>
      </c>
      <c r="J274" s="28" t="s">
        <v>58</v>
      </c>
      <c r="K274" s="47"/>
      <c r="L274" s="47">
        <v>1</v>
      </c>
      <c r="M274" s="47"/>
      <c r="N274" s="47"/>
      <c r="O274" s="47"/>
      <c r="P274" s="47">
        <v>1</v>
      </c>
      <c r="Q274" s="47"/>
      <c r="R274" s="47"/>
      <c r="S274" s="47">
        <v>1</v>
      </c>
      <c r="T274" s="47">
        <v>1</v>
      </c>
      <c r="U274" s="47"/>
      <c r="V274" s="47"/>
      <c r="W274" s="47"/>
      <c r="X274" s="47">
        <v>1</v>
      </c>
      <c r="Y274" s="47"/>
      <c r="Z274" s="47"/>
      <c r="AA274" s="47"/>
      <c r="AB274" s="47"/>
      <c r="AC274" s="47"/>
      <c r="AD274" s="47"/>
      <c r="AE274" s="47">
        <v>1</v>
      </c>
      <c r="AF274" s="47"/>
      <c r="AG274" s="47"/>
      <c r="AH274" s="47">
        <v>1</v>
      </c>
      <c r="AI274" s="47"/>
      <c r="AJ274" s="47">
        <v>1</v>
      </c>
      <c r="AK274" s="47"/>
      <c r="AL274" s="47"/>
      <c r="AM274" s="28">
        <f t="shared" si="4"/>
        <v>8</v>
      </c>
      <c r="AN274" s="28"/>
    </row>
    <row r="275" spans="1:40">
      <c r="A275" s="28">
        <v>273</v>
      </c>
      <c r="B275" s="29">
        <v>133701</v>
      </c>
      <c r="C275" s="28" t="s">
        <v>382</v>
      </c>
      <c r="D275" s="28"/>
      <c r="E275" s="28">
        <v>20250203</v>
      </c>
      <c r="F275" s="28"/>
      <c r="G275" s="29" t="s">
        <v>283</v>
      </c>
      <c r="H275" s="28" t="s">
        <v>295</v>
      </c>
      <c r="I275" s="28" t="s">
        <v>22</v>
      </c>
      <c r="J275" s="28" t="s">
        <v>54</v>
      </c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28">
        <f t="shared" si="4"/>
        <v>0</v>
      </c>
      <c r="AN275" s="28"/>
    </row>
    <row r="276" spans="1:40">
      <c r="A276" s="28">
        <v>274</v>
      </c>
      <c r="B276" s="29">
        <v>134933</v>
      </c>
      <c r="C276" s="28" t="s">
        <v>301</v>
      </c>
      <c r="D276" s="28"/>
      <c r="E276" s="28">
        <v>20250522</v>
      </c>
      <c r="F276" s="28"/>
      <c r="G276" s="29" t="s">
        <v>283</v>
      </c>
      <c r="H276" s="28" t="s">
        <v>295</v>
      </c>
      <c r="I276" s="28" t="s">
        <v>22</v>
      </c>
      <c r="J276" s="28" t="s">
        <v>54</v>
      </c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28">
        <f t="shared" si="4"/>
        <v>0</v>
      </c>
      <c r="AN276" s="28"/>
    </row>
    <row r="277" spans="1:40">
      <c r="A277" s="28">
        <v>275</v>
      </c>
      <c r="B277" s="29">
        <v>135622</v>
      </c>
      <c r="C277" s="28" t="s">
        <v>377</v>
      </c>
      <c r="D277" s="28"/>
      <c r="E277" s="28">
        <v>20251014</v>
      </c>
      <c r="F277" s="28"/>
      <c r="G277" s="29" t="s">
        <v>283</v>
      </c>
      <c r="H277" s="28" t="s">
        <v>295</v>
      </c>
      <c r="I277" s="28" t="s">
        <v>22</v>
      </c>
      <c r="J277" s="28" t="s">
        <v>58</v>
      </c>
      <c r="K277" s="47"/>
      <c r="L277" s="47"/>
      <c r="M277" s="47"/>
      <c r="N277" s="47"/>
      <c r="O277" s="47"/>
      <c r="P277" s="47">
        <v>1</v>
      </c>
      <c r="Q277" s="47">
        <v>1</v>
      </c>
      <c r="R277" s="47"/>
      <c r="S277" s="47"/>
      <c r="T277" s="47">
        <v>1</v>
      </c>
      <c r="U277" s="47">
        <v>1</v>
      </c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28">
        <f t="shared" si="4"/>
        <v>4</v>
      </c>
      <c r="AN277" s="28"/>
    </row>
    <row r="278" spans="1:40">
      <c r="A278" s="28">
        <v>276</v>
      </c>
      <c r="B278" s="29">
        <v>135826</v>
      </c>
      <c r="C278" s="28" t="s">
        <v>413</v>
      </c>
      <c r="D278" s="28"/>
      <c r="E278" s="28">
        <v>20251125</v>
      </c>
      <c r="F278" s="28"/>
      <c r="G278" s="29" t="s">
        <v>283</v>
      </c>
      <c r="H278" s="28" t="s">
        <v>295</v>
      </c>
      <c r="I278" s="28" t="s">
        <v>22</v>
      </c>
      <c r="J278" s="28" t="s">
        <v>54</v>
      </c>
      <c r="K278" s="47"/>
      <c r="L278" s="47"/>
      <c r="M278" s="47">
        <v>1</v>
      </c>
      <c r="N278" s="47"/>
      <c r="O278" s="47"/>
      <c r="P278" s="47">
        <v>1</v>
      </c>
      <c r="Q278" s="47"/>
      <c r="R278" s="47"/>
      <c r="S278" s="47"/>
      <c r="T278" s="47">
        <v>1</v>
      </c>
      <c r="U278" s="47"/>
      <c r="V278" s="47"/>
      <c r="W278" s="47"/>
      <c r="X278" s="47"/>
      <c r="Y278" s="47"/>
      <c r="Z278" s="47"/>
      <c r="AA278" s="47"/>
      <c r="AB278" s="47"/>
      <c r="AC278" s="47"/>
      <c r="AD278" s="47">
        <v>1</v>
      </c>
      <c r="AE278" s="47"/>
      <c r="AF278" s="47"/>
      <c r="AG278" s="47"/>
      <c r="AH278" s="47"/>
      <c r="AI278" s="47"/>
      <c r="AJ278" s="47"/>
      <c r="AK278" s="47"/>
      <c r="AL278" s="47">
        <v>1</v>
      </c>
      <c r="AM278" s="28">
        <f t="shared" si="4"/>
        <v>5</v>
      </c>
      <c r="AN278" s="28"/>
    </row>
    <row r="279" spans="1:40">
      <c r="A279" s="28">
        <v>277</v>
      </c>
      <c r="B279" s="29">
        <v>136004</v>
      </c>
      <c r="C279" s="28" t="s">
        <v>418</v>
      </c>
      <c r="D279" s="28"/>
      <c r="E279" s="28">
        <v>20260113</v>
      </c>
      <c r="F279" s="28"/>
      <c r="G279" s="29" t="s">
        <v>283</v>
      </c>
      <c r="H279" s="28" t="s">
        <v>295</v>
      </c>
      <c r="I279" s="28" t="s">
        <v>22</v>
      </c>
      <c r="J279" s="28" t="s">
        <v>54</v>
      </c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28">
        <f t="shared" si="4"/>
        <v>0</v>
      </c>
      <c r="AN279" s="28"/>
    </row>
    <row r="280" spans="1:40">
      <c r="A280" s="28">
        <v>278</v>
      </c>
      <c r="B280" s="29">
        <v>108153</v>
      </c>
      <c r="C280" s="28" t="s">
        <v>306</v>
      </c>
      <c r="D280" s="28"/>
      <c r="E280" s="28">
        <v>20170502</v>
      </c>
      <c r="F280" s="28"/>
      <c r="G280" s="29" t="s">
        <v>283</v>
      </c>
      <c r="H280" s="28" t="s">
        <v>307</v>
      </c>
      <c r="I280" s="28" t="s">
        <v>308</v>
      </c>
      <c r="J280" s="28" t="s">
        <v>54</v>
      </c>
      <c r="K280" s="47"/>
      <c r="L280" s="47"/>
      <c r="M280" s="47"/>
      <c r="N280" s="47"/>
      <c r="O280" s="47"/>
      <c r="P280" s="47"/>
      <c r="Q280" s="47">
        <v>1</v>
      </c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28">
        <f t="shared" si="4"/>
        <v>1</v>
      </c>
      <c r="AN280" s="28"/>
    </row>
    <row r="281" spans="1:40">
      <c r="A281" s="28">
        <v>279</v>
      </c>
      <c r="B281" s="29">
        <v>109836</v>
      </c>
      <c r="C281" s="28" t="s">
        <v>317</v>
      </c>
      <c r="D281" s="28"/>
      <c r="E281" s="28">
        <v>20170926</v>
      </c>
      <c r="F281" s="28"/>
      <c r="G281" s="29" t="s">
        <v>283</v>
      </c>
      <c r="H281" s="28" t="s">
        <v>307</v>
      </c>
      <c r="I281" s="28" t="s">
        <v>308</v>
      </c>
      <c r="J281" s="28" t="s">
        <v>54</v>
      </c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>
        <v>1</v>
      </c>
      <c r="Y281" s="47"/>
      <c r="Z281" s="47"/>
      <c r="AA281" s="47"/>
      <c r="AB281" s="47"/>
      <c r="AC281" s="47"/>
      <c r="AD281" s="47"/>
      <c r="AE281" s="47">
        <v>1</v>
      </c>
      <c r="AF281" s="47"/>
      <c r="AG281" s="47"/>
      <c r="AH281" s="47"/>
      <c r="AI281" s="47"/>
      <c r="AJ281" s="47"/>
      <c r="AK281" s="47"/>
      <c r="AL281" s="47"/>
      <c r="AM281" s="28">
        <f t="shared" si="4"/>
        <v>2</v>
      </c>
      <c r="AN281" s="28"/>
    </row>
    <row r="282" spans="1:40">
      <c r="A282" s="28">
        <v>280</v>
      </c>
      <c r="B282" s="29">
        <v>126139</v>
      </c>
      <c r="C282" s="28" t="s">
        <v>335</v>
      </c>
      <c r="D282" s="28"/>
      <c r="E282" s="28">
        <v>20220322</v>
      </c>
      <c r="F282" s="28"/>
      <c r="G282" s="29" t="s">
        <v>283</v>
      </c>
      <c r="H282" s="28" t="s">
        <v>307</v>
      </c>
      <c r="I282" s="28" t="s">
        <v>308</v>
      </c>
      <c r="J282" s="28" t="s">
        <v>54</v>
      </c>
      <c r="K282" s="47"/>
      <c r="L282" s="47"/>
      <c r="M282" s="47"/>
      <c r="N282" s="47"/>
      <c r="O282" s="47"/>
      <c r="P282" s="47"/>
      <c r="Q282" s="47">
        <v>1</v>
      </c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>
        <v>1</v>
      </c>
      <c r="AC282" s="47"/>
      <c r="AD282" s="47"/>
      <c r="AE282" s="47"/>
      <c r="AF282" s="47"/>
      <c r="AG282" s="47"/>
      <c r="AH282" s="47"/>
      <c r="AI282" s="47">
        <v>1</v>
      </c>
      <c r="AJ282" s="47">
        <v>1</v>
      </c>
      <c r="AK282" s="47"/>
      <c r="AL282" s="47">
        <v>1</v>
      </c>
      <c r="AM282" s="28">
        <f t="shared" si="4"/>
        <v>5</v>
      </c>
      <c r="AN282" s="28"/>
    </row>
    <row r="283" spans="1:40">
      <c r="A283" s="28">
        <v>281</v>
      </c>
      <c r="B283" s="29">
        <v>127491</v>
      </c>
      <c r="C283" s="28" t="s">
        <v>339</v>
      </c>
      <c r="D283" s="28"/>
      <c r="E283" s="28">
        <v>20220609</v>
      </c>
      <c r="F283" s="28"/>
      <c r="G283" s="29" t="s">
        <v>283</v>
      </c>
      <c r="H283" s="28" t="s">
        <v>307</v>
      </c>
      <c r="I283" s="28" t="s">
        <v>308</v>
      </c>
      <c r="J283" s="28" t="s">
        <v>54</v>
      </c>
      <c r="K283" s="47"/>
      <c r="L283" s="47"/>
      <c r="M283" s="47"/>
      <c r="N283" s="47"/>
      <c r="O283" s="47"/>
      <c r="P283" s="47"/>
      <c r="Q283" s="47">
        <v>1</v>
      </c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28">
        <f t="shared" si="4"/>
        <v>1</v>
      </c>
      <c r="AN283" s="28"/>
    </row>
    <row r="284" spans="1:40">
      <c r="A284" s="28">
        <v>282</v>
      </c>
      <c r="B284" s="29">
        <v>127941</v>
      </c>
      <c r="C284" s="28" t="s">
        <v>344</v>
      </c>
      <c r="D284" s="28"/>
      <c r="E284" s="28">
        <v>20220628</v>
      </c>
      <c r="F284" s="28"/>
      <c r="G284" s="29" t="s">
        <v>283</v>
      </c>
      <c r="H284" s="28" t="s">
        <v>307</v>
      </c>
      <c r="I284" s="28" t="s">
        <v>308</v>
      </c>
      <c r="J284" s="28" t="s">
        <v>54</v>
      </c>
      <c r="K284" s="47"/>
      <c r="L284" s="47"/>
      <c r="M284" s="47">
        <v>1</v>
      </c>
      <c r="N284" s="47"/>
      <c r="O284" s="47"/>
      <c r="P284" s="47"/>
      <c r="Q284" s="47"/>
      <c r="R284" s="47"/>
      <c r="S284" s="47">
        <v>1</v>
      </c>
      <c r="T284" s="47"/>
      <c r="U284" s="47"/>
      <c r="V284" s="47"/>
      <c r="W284" s="47"/>
      <c r="X284" s="47"/>
      <c r="Y284" s="47"/>
      <c r="Z284" s="47"/>
      <c r="AA284" s="47"/>
      <c r="AB284" s="47"/>
      <c r="AC284" s="47">
        <v>1</v>
      </c>
      <c r="AD284" s="47">
        <v>1</v>
      </c>
      <c r="AE284" s="47"/>
      <c r="AF284" s="47"/>
      <c r="AG284" s="47">
        <v>1</v>
      </c>
      <c r="AH284" s="47"/>
      <c r="AI284" s="47"/>
      <c r="AJ284" s="47"/>
      <c r="AK284" s="47"/>
      <c r="AL284" s="47"/>
      <c r="AM284" s="28">
        <f t="shared" si="4"/>
        <v>5</v>
      </c>
      <c r="AN284" s="28"/>
    </row>
    <row r="285" spans="1:40">
      <c r="A285" s="28">
        <v>283</v>
      </c>
      <c r="B285" s="29">
        <v>128344</v>
      </c>
      <c r="C285" s="28" t="s">
        <v>345</v>
      </c>
      <c r="D285" s="28"/>
      <c r="E285" s="28">
        <v>20220728</v>
      </c>
      <c r="F285" s="28"/>
      <c r="G285" s="29" t="s">
        <v>283</v>
      </c>
      <c r="H285" s="28" t="s">
        <v>307</v>
      </c>
      <c r="I285" s="28" t="s">
        <v>308</v>
      </c>
      <c r="J285" s="28" t="s">
        <v>54</v>
      </c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28">
        <f t="shared" si="4"/>
        <v>0</v>
      </c>
      <c r="AN285" s="28"/>
    </row>
    <row r="286" spans="1:40">
      <c r="A286" s="28">
        <v>284</v>
      </c>
      <c r="B286" s="29">
        <v>131860</v>
      </c>
      <c r="C286" s="28" t="s">
        <v>365</v>
      </c>
      <c r="D286" s="28"/>
      <c r="E286" s="28">
        <v>20240909</v>
      </c>
      <c r="F286" s="28"/>
      <c r="G286" s="29" t="s">
        <v>283</v>
      </c>
      <c r="H286" s="28" t="s">
        <v>307</v>
      </c>
      <c r="I286" s="28" t="s">
        <v>308</v>
      </c>
      <c r="J286" s="28" t="s">
        <v>54</v>
      </c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28">
        <f t="shared" si="4"/>
        <v>0</v>
      </c>
      <c r="AN286" s="28"/>
    </row>
    <row r="287" spans="1:40">
      <c r="A287" s="28">
        <v>285</v>
      </c>
      <c r="B287" s="29">
        <v>133574</v>
      </c>
      <c r="C287" s="28" t="s">
        <v>381</v>
      </c>
      <c r="D287" s="28"/>
      <c r="E287" s="28">
        <v>20250115</v>
      </c>
      <c r="F287" s="28"/>
      <c r="G287" s="29" t="s">
        <v>283</v>
      </c>
      <c r="H287" s="28" t="s">
        <v>307</v>
      </c>
      <c r="I287" s="28" t="s">
        <v>308</v>
      </c>
      <c r="J287" s="28" t="s">
        <v>54</v>
      </c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28">
        <f t="shared" si="4"/>
        <v>0</v>
      </c>
      <c r="AN287" s="28"/>
    </row>
    <row r="288" spans="1:40">
      <c r="A288" s="28">
        <v>286</v>
      </c>
      <c r="B288" s="29">
        <v>133702</v>
      </c>
      <c r="C288" s="28" t="s">
        <v>383</v>
      </c>
      <c r="D288" s="28"/>
      <c r="E288" s="28">
        <v>20250203</v>
      </c>
      <c r="F288" s="28"/>
      <c r="G288" s="29" t="s">
        <v>283</v>
      </c>
      <c r="H288" s="28" t="s">
        <v>307</v>
      </c>
      <c r="I288" s="28" t="s">
        <v>308</v>
      </c>
      <c r="J288" s="28" t="s">
        <v>54</v>
      </c>
      <c r="K288" s="47"/>
      <c r="L288" s="47"/>
      <c r="M288" s="47"/>
      <c r="N288" s="47">
        <v>1</v>
      </c>
      <c r="O288" s="47">
        <v>1</v>
      </c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28">
        <f t="shared" si="4"/>
        <v>2</v>
      </c>
      <c r="AN288" s="28"/>
    </row>
    <row r="289" spans="1:40">
      <c r="A289" s="28">
        <v>287</v>
      </c>
      <c r="B289" s="29">
        <v>134929</v>
      </c>
      <c r="C289" s="28" t="s">
        <v>398</v>
      </c>
      <c r="D289" s="28"/>
      <c r="E289" s="28">
        <v>20250520</v>
      </c>
      <c r="F289" s="28"/>
      <c r="G289" s="29" t="s">
        <v>283</v>
      </c>
      <c r="H289" s="28" t="s">
        <v>307</v>
      </c>
      <c r="I289" s="28" t="s">
        <v>308</v>
      </c>
      <c r="J289" s="28" t="s">
        <v>54</v>
      </c>
      <c r="K289" s="47"/>
      <c r="L289" s="47"/>
      <c r="M289" s="47"/>
      <c r="N289" s="47"/>
      <c r="O289" s="47">
        <v>1</v>
      </c>
      <c r="P289" s="47"/>
      <c r="Q289" s="47">
        <v>1</v>
      </c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>
        <v>1</v>
      </c>
      <c r="AM289" s="28">
        <f t="shared" si="4"/>
        <v>3</v>
      </c>
      <c r="AN289" s="28"/>
    </row>
    <row r="290" spans="1:40">
      <c r="A290" s="28">
        <v>288</v>
      </c>
      <c r="B290" s="29">
        <v>134930</v>
      </c>
      <c r="C290" s="28" t="s">
        <v>399</v>
      </c>
      <c r="D290" s="28"/>
      <c r="E290" s="28">
        <v>20250520</v>
      </c>
      <c r="F290" s="28"/>
      <c r="G290" s="29" t="s">
        <v>283</v>
      </c>
      <c r="H290" s="28" t="s">
        <v>307</v>
      </c>
      <c r="I290" s="28" t="s">
        <v>308</v>
      </c>
      <c r="J290" s="28" t="s">
        <v>58</v>
      </c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28">
        <f t="shared" si="4"/>
        <v>0</v>
      </c>
      <c r="AN290" s="28"/>
    </row>
    <row r="291" spans="1:40">
      <c r="A291" s="28">
        <v>289</v>
      </c>
      <c r="B291" s="29">
        <v>135381</v>
      </c>
      <c r="C291" s="28" t="s">
        <v>405</v>
      </c>
      <c r="D291" s="28"/>
      <c r="E291" s="28">
        <v>20250901</v>
      </c>
      <c r="F291" s="28"/>
      <c r="G291" s="29" t="s">
        <v>283</v>
      </c>
      <c r="H291" s="28" t="s">
        <v>307</v>
      </c>
      <c r="I291" s="28" t="s">
        <v>308</v>
      </c>
      <c r="J291" s="28" t="s">
        <v>54</v>
      </c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>
        <v>1</v>
      </c>
      <c r="AD291" s="47"/>
      <c r="AE291" s="47"/>
      <c r="AF291" s="47"/>
      <c r="AG291" s="47"/>
      <c r="AH291" s="47"/>
      <c r="AI291" s="47"/>
      <c r="AJ291" s="47"/>
      <c r="AK291" s="47"/>
      <c r="AL291" s="47"/>
      <c r="AM291" s="28">
        <f t="shared" si="4"/>
        <v>1</v>
      </c>
      <c r="AN291" s="28"/>
    </row>
    <row r="292" spans="1:40">
      <c r="A292" s="28">
        <v>290</v>
      </c>
      <c r="B292" s="29">
        <v>135830</v>
      </c>
      <c r="C292" s="28" t="s">
        <v>414</v>
      </c>
      <c r="D292" s="28"/>
      <c r="E292" s="28">
        <v>20251204</v>
      </c>
      <c r="F292" s="28"/>
      <c r="G292" s="29" t="s">
        <v>283</v>
      </c>
      <c r="H292" s="28" t="s">
        <v>307</v>
      </c>
      <c r="I292" s="28" t="s">
        <v>308</v>
      </c>
      <c r="J292" s="28" t="s">
        <v>54</v>
      </c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28">
        <f t="shared" si="4"/>
        <v>0</v>
      </c>
      <c r="AN292" s="28"/>
    </row>
    <row r="293" spans="1:40">
      <c r="A293" s="28">
        <v>291</v>
      </c>
      <c r="B293" s="29">
        <v>700137</v>
      </c>
      <c r="C293" s="28" t="s">
        <v>424</v>
      </c>
      <c r="D293" s="28"/>
      <c r="E293" s="28">
        <v>20180607</v>
      </c>
      <c r="F293" s="28"/>
      <c r="G293" s="29" t="s">
        <v>283</v>
      </c>
      <c r="H293" s="28" t="s">
        <v>307</v>
      </c>
      <c r="I293" s="28" t="s">
        <v>308</v>
      </c>
      <c r="J293" s="28" t="s">
        <v>54</v>
      </c>
      <c r="K293" s="47"/>
      <c r="L293" s="47"/>
      <c r="M293" s="47">
        <v>1</v>
      </c>
      <c r="N293" s="47">
        <v>1</v>
      </c>
      <c r="O293" s="47">
        <v>1</v>
      </c>
      <c r="P293" s="47"/>
      <c r="Q293" s="47">
        <v>1</v>
      </c>
      <c r="R293" s="47"/>
      <c r="S293" s="47">
        <v>1</v>
      </c>
      <c r="T293" s="47">
        <v>1</v>
      </c>
      <c r="U293" s="47">
        <v>1</v>
      </c>
      <c r="V293" s="47"/>
      <c r="W293" s="47"/>
      <c r="X293" s="47">
        <v>1</v>
      </c>
      <c r="Y293" s="47"/>
      <c r="Z293" s="47"/>
      <c r="AA293" s="47"/>
      <c r="AB293" s="47"/>
      <c r="AC293" s="47"/>
      <c r="AD293" s="47"/>
      <c r="AE293" s="47">
        <v>1</v>
      </c>
      <c r="AF293" s="47"/>
      <c r="AG293" s="47">
        <v>1</v>
      </c>
      <c r="AH293" s="47"/>
      <c r="AI293" s="47"/>
      <c r="AJ293" s="47"/>
      <c r="AK293" s="47">
        <v>1</v>
      </c>
      <c r="AL293" s="47"/>
      <c r="AM293" s="28">
        <f t="shared" si="4"/>
        <v>11</v>
      </c>
      <c r="AN293" s="28"/>
    </row>
    <row r="294" spans="1:40">
      <c r="A294" s="28">
        <v>292</v>
      </c>
      <c r="B294" s="29">
        <v>701200</v>
      </c>
      <c r="C294" s="28" t="s">
        <v>426</v>
      </c>
      <c r="D294" s="28"/>
      <c r="E294" s="28">
        <v>20200514</v>
      </c>
      <c r="F294" s="28"/>
      <c r="G294" s="29" t="s">
        <v>283</v>
      </c>
      <c r="H294" s="28" t="s">
        <v>307</v>
      </c>
      <c r="I294" s="28" t="s">
        <v>308</v>
      </c>
      <c r="J294" s="28" t="s">
        <v>54</v>
      </c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28">
        <f t="shared" si="4"/>
        <v>0</v>
      </c>
      <c r="AN294" s="28"/>
    </row>
    <row r="295" spans="1:40">
      <c r="A295" s="28">
        <v>293</v>
      </c>
      <c r="B295" s="29">
        <v>701672</v>
      </c>
      <c r="C295" s="28" t="s">
        <v>427</v>
      </c>
      <c r="D295" s="28"/>
      <c r="E295" s="28">
        <v>20220222</v>
      </c>
      <c r="F295" s="28"/>
      <c r="G295" s="29" t="s">
        <v>283</v>
      </c>
      <c r="H295" s="28" t="s">
        <v>307</v>
      </c>
      <c r="I295" s="28" t="s">
        <v>308</v>
      </c>
      <c r="J295" s="28" t="s">
        <v>54</v>
      </c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28">
        <f t="shared" si="4"/>
        <v>0</v>
      </c>
      <c r="AN295" s="28"/>
    </row>
    <row r="296" spans="1:40">
      <c r="A296" s="28">
        <v>294</v>
      </c>
      <c r="B296" s="29">
        <v>100324</v>
      </c>
      <c r="C296" s="28" t="s">
        <v>287</v>
      </c>
      <c r="D296" s="28"/>
      <c r="E296" s="28">
        <v>20150512</v>
      </c>
      <c r="F296" s="28"/>
      <c r="G296" s="29" t="s">
        <v>283</v>
      </c>
      <c r="H296" s="28" t="s">
        <v>288</v>
      </c>
      <c r="I296" s="28" t="s">
        <v>289</v>
      </c>
      <c r="J296" s="28" t="s">
        <v>54</v>
      </c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>
        <v>1</v>
      </c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28">
        <f t="shared" si="4"/>
        <v>1</v>
      </c>
      <c r="AN296" s="28"/>
    </row>
    <row r="297" spans="1:40">
      <c r="A297" s="28">
        <v>295</v>
      </c>
      <c r="B297" s="29">
        <v>101531</v>
      </c>
      <c r="C297" s="28" t="s">
        <v>296</v>
      </c>
      <c r="D297" s="28"/>
      <c r="E297" s="28">
        <v>20151229</v>
      </c>
      <c r="F297" s="28"/>
      <c r="G297" s="29" t="s">
        <v>283</v>
      </c>
      <c r="H297" s="28" t="s">
        <v>288</v>
      </c>
      <c r="I297" s="28" t="s">
        <v>289</v>
      </c>
      <c r="J297" s="28" t="s">
        <v>54</v>
      </c>
      <c r="K297" s="47"/>
      <c r="L297" s="47">
        <v>1</v>
      </c>
      <c r="M297" s="47"/>
      <c r="N297" s="47"/>
      <c r="O297" s="47"/>
      <c r="P297" s="47"/>
      <c r="Q297" s="47">
        <v>1</v>
      </c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28">
        <f t="shared" si="4"/>
        <v>2</v>
      </c>
      <c r="AN297" s="28"/>
    </row>
    <row r="298" spans="1:40">
      <c r="A298" s="28">
        <v>296</v>
      </c>
      <c r="B298" s="29">
        <v>115513</v>
      </c>
      <c r="C298" s="28" t="s">
        <v>322</v>
      </c>
      <c r="D298" s="28"/>
      <c r="E298" s="28">
        <v>20190704</v>
      </c>
      <c r="F298" s="28"/>
      <c r="G298" s="29" t="s">
        <v>283</v>
      </c>
      <c r="H298" s="28" t="s">
        <v>288</v>
      </c>
      <c r="I298" s="28" t="s">
        <v>289</v>
      </c>
      <c r="J298" s="28" t="s">
        <v>54</v>
      </c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28">
        <f t="shared" si="4"/>
        <v>0</v>
      </c>
      <c r="AN298" s="28"/>
    </row>
    <row r="299" spans="1:40">
      <c r="A299" s="28">
        <v>297</v>
      </c>
      <c r="B299" s="29">
        <v>130035</v>
      </c>
      <c r="C299" s="28" t="s">
        <v>353</v>
      </c>
      <c r="D299" s="28"/>
      <c r="E299" s="28">
        <v>20240305</v>
      </c>
      <c r="F299" s="28"/>
      <c r="G299" s="29" t="s">
        <v>283</v>
      </c>
      <c r="H299" s="28" t="s">
        <v>288</v>
      </c>
      <c r="I299" s="28" t="s">
        <v>289</v>
      </c>
      <c r="J299" s="28" t="s">
        <v>54</v>
      </c>
      <c r="K299" s="47"/>
      <c r="L299" s="47"/>
      <c r="M299" s="47"/>
      <c r="N299" s="47"/>
      <c r="O299" s="47">
        <v>1</v>
      </c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>
        <v>1</v>
      </c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28">
        <f t="shared" si="4"/>
        <v>2</v>
      </c>
      <c r="AN299" s="28"/>
    </row>
    <row r="300" spans="1:40">
      <c r="A300" s="28">
        <v>298</v>
      </c>
      <c r="B300" s="29">
        <v>131015</v>
      </c>
      <c r="C300" s="28" t="s">
        <v>362</v>
      </c>
      <c r="D300" s="28"/>
      <c r="E300" s="28">
        <v>20240711</v>
      </c>
      <c r="F300" s="28"/>
      <c r="G300" s="29" t="s">
        <v>283</v>
      </c>
      <c r="H300" s="28" t="s">
        <v>288</v>
      </c>
      <c r="I300" s="28" t="s">
        <v>289</v>
      </c>
      <c r="J300" s="28" t="s">
        <v>54</v>
      </c>
      <c r="K300" s="47"/>
      <c r="L300" s="47"/>
      <c r="M300" s="47"/>
      <c r="N300" s="47"/>
      <c r="O300" s="47">
        <v>1</v>
      </c>
      <c r="P300" s="47"/>
      <c r="Q300" s="47"/>
      <c r="R300" s="47"/>
      <c r="S300" s="47">
        <v>1</v>
      </c>
      <c r="T300" s="47"/>
      <c r="U300" s="47"/>
      <c r="V300" s="47"/>
      <c r="W300" s="47"/>
      <c r="X300" s="47"/>
      <c r="Y300" s="47"/>
      <c r="Z300" s="47"/>
      <c r="AA300" s="47"/>
      <c r="AB300" s="47">
        <v>1</v>
      </c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28">
        <f t="shared" si="4"/>
        <v>3</v>
      </c>
      <c r="AN300" s="28"/>
    </row>
    <row r="301" spans="1:40">
      <c r="A301" s="28">
        <v>299</v>
      </c>
      <c r="B301" s="29">
        <v>133041</v>
      </c>
      <c r="C301" s="28" t="s">
        <v>374</v>
      </c>
      <c r="D301" s="28"/>
      <c r="E301" s="28">
        <v>20241119</v>
      </c>
      <c r="F301" s="28"/>
      <c r="G301" s="29" t="s">
        <v>283</v>
      </c>
      <c r="H301" s="28" t="s">
        <v>288</v>
      </c>
      <c r="I301" s="28" t="s">
        <v>289</v>
      </c>
      <c r="J301" s="28" t="s">
        <v>54</v>
      </c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>
        <v>1</v>
      </c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28">
        <f t="shared" si="4"/>
        <v>1</v>
      </c>
      <c r="AN301" s="28"/>
    </row>
    <row r="302" spans="1:40">
      <c r="A302" s="28">
        <v>300</v>
      </c>
      <c r="B302" s="29">
        <v>134042</v>
      </c>
      <c r="C302" s="28" t="s">
        <v>373</v>
      </c>
      <c r="D302" s="28"/>
      <c r="E302" s="28">
        <v>20250305</v>
      </c>
      <c r="F302" s="28"/>
      <c r="G302" s="29" t="s">
        <v>283</v>
      </c>
      <c r="H302" s="28" t="s">
        <v>288</v>
      </c>
      <c r="I302" s="28" t="s">
        <v>289</v>
      </c>
      <c r="J302" s="28" t="s">
        <v>54</v>
      </c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28">
        <f t="shared" si="4"/>
        <v>0</v>
      </c>
      <c r="AN302" s="28"/>
    </row>
    <row r="303" spans="1:40">
      <c r="A303" s="28">
        <v>301</v>
      </c>
      <c r="B303" s="29">
        <v>134400</v>
      </c>
      <c r="C303" s="28" t="s">
        <v>394</v>
      </c>
      <c r="D303" s="28"/>
      <c r="E303" s="28">
        <v>20250423</v>
      </c>
      <c r="F303" s="28"/>
      <c r="G303" s="29" t="s">
        <v>283</v>
      </c>
      <c r="H303" s="28" t="s">
        <v>288</v>
      </c>
      <c r="I303" s="28" t="s">
        <v>289</v>
      </c>
      <c r="J303" s="28" t="s">
        <v>54</v>
      </c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28">
        <f t="shared" si="4"/>
        <v>0</v>
      </c>
      <c r="AN303" s="28"/>
    </row>
    <row r="304" spans="1:40">
      <c r="A304" s="28">
        <v>302</v>
      </c>
      <c r="B304" s="29">
        <v>134931</v>
      </c>
      <c r="C304" s="28" t="s">
        <v>305</v>
      </c>
      <c r="D304" s="28"/>
      <c r="E304" s="28">
        <v>20250520</v>
      </c>
      <c r="F304" s="28"/>
      <c r="G304" s="29" t="s">
        <v>283</v>
      </c>
      <c r="H304" s="28" t="s">
        <v>288</v>
      </c>
      <c r="I304" s="28" t="s">
        <v>289</v>
      </c>
      <c r="J304" s="28" t="s">
        <v>54</v>
      </c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28">
        <f t="shared" si="4"/>
        <v>0</v>
      </c>
      <c r="AN304" s="28"/>
    </row>
    <row r="305" spans="1:40">
      <c r="A305" s="28">
        <v>303</v>
      </c>
      <c r="B305" s="29">
        <v>135023</v>
      </c>
      <c r="C305" s="28" t="s">
        <v>338</v>
      </c>
      <c r="D305" s="28"/>
      <c r="E305" s="28">
        <v>20250626</v>
      </c>
      <c r="F305" s="28"/>
      <c r="G305" s="29" t="s">
        <v>283</v>
      </c>
      <c r="H305" s="28" t="s">
        <v>288</v>
      </c>
      <c r="I305" s="28" t="s">
        <v>289</v>
      </c>
      <c r="J305" s="28" t="s">
        <v>54</v>
      </c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28">
        <f t="shared" si="4"/>
        <v>0</v>
      </c>
      <c r="AN305" s="28"/>
    </row>
    <row r="306" spans="1:40">
      <c r="A306" s="28">
        <v>304</v>
      </c>
      <c r="B306" s="29">
        <v>135024</v>
      </c>
      <c r="C306" s="28" t="s">
        <v>402</v>
      </c>
      <c r="D306" s="28"/>
      <c r="E306" s="28">
        <v>20250626</v>
      </c>
      <c r="F306" s="28"/>
      <c r="G306" s="29" t="s">
        <v>283</v>
      </c>
      <c r="H306" s="28" t="s">
        <v>288</v>
      </c>
      <c r="I306" s="28" t="s">
        <v>289</v>
      </c>
      <c r="J306" s="28" t="s">
        <v>54</v>
      </c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28">
        <f t="shared" si="4"/>
        <v>0</v>
      </c>
      <c r="AN306" s="28"/>
    </row>
    <row r="307" spans="1:40">
      <c r="A307" s="28">
        <v>305</v>
      </c>
      <c r="B307" s="29">
        <v>136015</v>
      </c>
      <c r="C307" s="28" t="s">
        <v>417</v>
      </c>
      <c r="D307" s="28"/>
      <c r="E307" s="28">
        <v>20260115</v>
      </c>
      <c r="F307" s="28"/>
      <c r="G307" s="29" t="s">
        <v>283</v>
      </c>
      <c r="H307" s="28" t="s">
        <v>288</v>
      </c>
      <c r="I307" s="28" t="s">
        <v>289</v>
      </c>
      <c r="J307" s="28" t="s">
        <v>58</v>
      </c>
      <c r="K307" s="47"/>
      <c r="L307" s="47"/>
      <c r="M307" s="47"/>
      <c r="N307" s="47">
        <v>1</v>
      </c>
      <c r="O307" s="47"/>
      <c r="P307" s="47"/>
      <c r="Q307" s="47"/>
      <c r="R307" s="47"/>
      <c r="S307" s="47"/>
      <c r="T307" s="47"/>
      <c r="U307" s="47">
        <v>1</v>
      </c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28">
        <f t="shared" si="4"/>
        <v>2</v>
      </c>
      <c r="AN307" s="28"/>
    </row>
    <row r="308" spans="1:40">
      <c r="A308" s="28">
        <v>306</v>
      </c>
      <c r="B308" s="29">
        <v>136016</v>
      </c>
      <c r="C308" s="28" t="s">
        <v>419</v>
      </c>
      <c r="D308" s="28"/>
      <c r="E308" s="28">
        <v>20260115</v>
      </c>
      <c r="F308" s="28"/>
      <c r="G308" s="29" t="s">
        <v>283</v>
      </c>
      <c r="H308" s="28" t="s">
        <v>288</v>
      </c>
      <c r="I308" s="28" t="s">
        <v>289</v>
      </c>
      <c r="J308" s="28" t="s">
        <v>54</v>
      </c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28">
        <f t="shared" si="4"/>
        <v>0</v>
      </c>
      <c r="AN308" s="28"/>
    </row>
    <row r="309" spans="1:40">
      <c r="A309" s="28">
        <v>307</v>
      </c>
      <c r="B309" s="29">
        <v>104727</v>
      </c>
      <c r="C309" s="28" t="s">
        <v>302</v>
      </c>
      <c r="D309" s="28"/>
      <c r="E309" s="28">
        <v>20161003</v>
      </c>
      <c r="F309" s="28"/>
      <c r="G309" s="29" t="s">
        <v>283</v>
      </c>
      <c r="H309" s="28" t="s">
        <v>303</v>
      </c>
      <c r="I309" s="28" t="s">
        <v>304</v>
      </c>
      <c r="J309" s="28" t="s">
        <v>54</v>
      </c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28">
        <f t="shared" si="4"/>
        <v>0</v>
      </c>
      <c r="AN309" s="28"/>
    </row>
    <row r="310" spans="1:40">
      <c r="A310" s="28">
        <v>308</v>
      </c>
      <c r="B310" s="29">
        <v>118025</v>
      </c>
      <c r="C310" s="28" t="s">
        <v>325</v>
      </c>
      <c r="D310" s="28"/>
      <c r="E310" s="28">
        <v>20191024</v>
      </c>
      <c r="F310" s="28"/>
      <c r="G310" s="29" t="s">
        <v>283</v>
      </c>
      <c r="H310" s="28" t="s">
        <v>303</v>
      </c>
      <c r="I310" s="28" t="s">
        <v>304</v>
      </c>
      <c r="J310" s="28" t="s">
        <v>54</v>
      </c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>
        <v>1</v>
      </c>
      <c r="AM310" s="28">
        <f t="shared" si="4"/>
        <v>1</v>
      </c>
      <c r="AN310" s="28"/>
    </row>
    <row r="311" spans="1:40">
      <c r="A311" s="28">
        <v>309</v>
      </c>
      <c r="B311" s="29">
        <v>120782</v>
      </c>
      <c r="C311" s="28" t="s">
        <v>332</v>
      </c>
      <c r="D311" s="28"/>
      <c r="E311" s="28">
        <v>20200507</v>
      </c>
      <c r="F311" s="28"/>
      <c r="G311" s="29" t="s">
        <v>283</v>
      </c>
      <c r="H311" s="28" t="s">
        <v>303</v>
      </c>
      <c r="I311" s="28" t="s">
        <v>304</v>
      </c>
      <c r="J311" s="28" t="s">
        <v>54</v>
      </c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28">
        <f t="shared" si="4"/>
        <v>0</v>
      </c>
      <c r="AN311" s="28"/>
    </row>
    <row r="312" spans="1:40">
      <c r="A312" s="28">
        <v>310</v>
      </c>
      <c r="B312" s="41">
        <v>131864</v>
      </c>
      <c r="C312" s="40" t="s">
        <v>366</v>
      </c>
      <c r="D312" s="40"/>
      <c r="E312" s="40">
        <v>20240909</v>
      </c>
      <c r="F312" s="40">
        <v>20260201</v>
      </c>
      <c r="G312" s="41" t="s">
        <v>283</v>
      </c>
      <c r="H312" s="40" t="s">
        <v>303</v>
      </c>
      <c r="I312" s="40" t="s">
        <v>304</v>
      </c>
      <c r="J312" s="40" t="s">
        <v>54</v>
      </c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28">
        <f t="shared" si="4"/>
        <v>0</v>
      </c>
      <c r="AN312" s="28"/>
    </row>
    <row r="313" spans="1:40">
      <c r="A313" s="28">
        <v>311</v>
      </c>
      <c r="B313" s="29">
        <v>132248</v>
      </c>
      <c r="C313" s="28" t="s">
        <v>367</v>
      </c>
      <c r="D313" s="28"/>
      <c r="E313" s="28">
        <v>20241001</v>
      </c>
      <c r="F313" s="28"/>
      <c r="G313" s="29" t="s">
        <v>283</v>
      </c>
      <c r="H313" s="28" t="s">
        <v>303</v>
      </c>
      <c r="I313" s="28" t="s">
        <v>304</v>
      </c>
      <c r="J313" s="28" t="s">
        <v>54</v>
      </c>
      <c r="K313" s="47"/>
      <c r="L313" s="47"/>
      <c r="M313" s="47"/>
      <c r="N313" s="47"/>
      <c r="O313" s="47"/>
      <c r="P313" s="47">
        <v>1</v>
      </c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28">
        <f t="shared" si="4"/>
        <v>1</v>
      </c>
      <c r="AN313" s="28"/>
    </row>
    <row r="314" spans="1:40">
      <c r="A314" s="28">
        <v>312</v>
      </c>
      <c r="B314" s="29">
        <v>133748</v>
      </c>
      <c r="C314" s="28" t="s">
        <v>384</v>
      </c>
      <c r="D314" s="28"/>
      <c r="E314" s="28">
        <v>20250210</v>
      </c>
      <c r="F314" s="28"/>
      <c r="G314" s="29" t="s">
        <v>283</v>
      </c>
      <c r="H314" s="28" t="s">
        <v>303</v>
      </c>
      <c r="I314" s="28" t="s">
        <v>304</v>
      </c>
      <c r="J314" s="28" t="s">
        <v>54</v>
      </c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28">
        <f t="shared" si="4"/>
        <v>0</v>
      </c>
      <c r="AN314" s="28"/>
    </row>
    <row r="315" spans="1:40">
      <c r="A315" s="28">
        <v>313</v>
      </c>
      <c r="B315" s="29">
        <v>133991</v>
      </c>
      <c r="C315" s="28" t="s">
        <v>388</v>
      </c>
      <c r="D315" s="28"/>
      <c r="E315" s="28">
        <v>20250303</v>
      </c>
      <c r="F315" s="28"/>
      <c r="G315" s="29" t="s">
        <v>283</v>
      </c>
      <c r="H315" s="28" t="s">
        <v>303</v>
      </c>
      <c r="I315" s="28" t="s">
        <v>304</v>
      </c>
      <c r="J315" s="28" t="s">
        <v>58</v>
      </c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28">
        <f t="shared" si="4"/>
        <v>0</v>
      </c>
      <c r="AN315" s="28"/>
    </row>
    <row r="316" spans="1:40">
      <c r="A316" s="28">
        <v>314</v>
      </c>
      <c r="B316" s="29">
        <v>135824</v>
      </c>
      <c r="C316" s="28" t="s">
        <v>411</v>
      </c>
      <c r="D316" s="28"/>
      <c r="E316" s="28">
        <v>20251125</v>
      </c>
      <c r="F316" s="28"/>
      <c r="G316" s="29" t="s">
        <v>283</v>
      </c>
      <c r="H316" s="28" t="s">
        <v>303</v>
      </c>
      <c r="I316" s="28" t="s">
        <v>304</v>
      </c>
      <c r="J316" s="28" t="s">
        <v>54</v>
      </c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28">
        <f t="shared" si="4"/>
        <v>0</v>
      </c>
      <c r="AN316" s="28"/>
    </row>
    <row r="317" spans="1:40">
      <c r="A317" s="28">
        <v>315</v>
      </c>
      <c r="B317" s="45">
        <v>135825</v>
      </c>
      <c r="C317" s="44" t="s">
        <v>412</v>
      </c>
      <c r="D317" s="44"/>
      <c r="E317" s="44">
        <v>20251125</v>
      </c>
      <c r="F317" s="44">
        <v>20260205</v>
      </c>
      <c r="G317" s="45" t="s">
        <v>283</v>
      </c>
      <c r="H317" s="44" t="s">
        <v>303</v>
      </c>
      <c r="I317" s="44" t="s">
        <v>304</v>
      </c>
      <c r="J317" s="44" t="s">
        <v>54</v>
      </c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28">
        <f t="shared" si="4"/>
        <v>0</v>
      </c>
      <c r="AN317" s="28"/>
    </row>
    <row r="318" spans="1:40">
      <c r="A318" s="28">
        <v>316</v>
      </c>
      <c r="B318" s="29">
        <v>135891</v>
      </c>
      <c r="C318" s="28" t="s">
        <v>416</v>
      </c>
      <c r="D318" s="28"/>
      <c r="E318" s="28">
        <v>20251217</v>
      </c>
      <c r="F318" s="28"/>
      <c r="G318" s="29" t="s">
        <v>283</v>
      </c>
      <c r="H318" s="28" t="s">
        <v>303</v>
      </c>
      <c r="I318" s="28" t="s">
        <v>304</v>
      </c>
      <c r="J318" s="28" t="s">
        <v>58</v>
      </c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28">
        <f t="shared" si="4"/>
        <v>0</v>
      </c>
      <c r="AN318" s="28"/>
    </row>
    <row r="319" spans="1:40">
      <c r="A319" s="28">
        <v>317</v>
      </c>
      <c r="B319" s="29">
        <v>135892</v>
      </c>
      <c r="C319" s="28" t="s">
        <v>334</v>
      </c>
      <c r="D319" s="28"/>
      <c r="E319" s="28">
        <v>20251217</v>
      </c>
      <c r="F319" s="28"/>
      <c r="G319" s="29" t="s">
        <v>283</v>
      </c>
      <c r="H319" s="28" t="s">
        <v>303</v>
      </c>
      <c r="I319" s="28" t="s">
        <v>304</v>
      </c>
      <c r="J319" s="28" t="s">
        <v>54</v>
      </c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>
        <v>1</v>
      </c>
      <c r="AK319" s="47"/>
      <c r="AL319" s="47"/>
      <c r="AM319" s="28">
        <f t="shared" si="4"/>
        <v>1</v>
      </c>
      <c r="AN319" s="28"/>
    </row>
    <row r="320" spans="1:40">
      <c r="A320" s="28">
        <v>318</v>
      </c>
      <c r="B320" s="29">
        <v>109188</v>
      </c>
      <c r="C320" s="28" t="s">
        <v>314</v>
      </c>
      <c r="D320" s="28"/>
      <c r="E320" s="28">
        <v>20170704</v>
      </c>
      <c r="F320" s="28"/>
      <c r="G320" s="29" t="s">
        <v>283</v>
      </c>
      <c r="H320" s="28" t="s">
        <v>315</v>
      </c>
      <c r="I320" s="28" t="s">
        <v>316</v>
      </c>
      <c r="J320" s="28" t="s">
        <v>54</v>
      </c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>
        <v>1</v>
      </c>
      <c r="AE320" s="47"/>
      <c r="AF320" s="47"/>
      <c r="AG320" s="47"/>
      <c r="AH320" s="47"/>
      <c r="AI320" s="47"/>
      <c r="AJ320" s="47"/>
      <c r="AK320" s="47"/>
      <c r="AL320" s="47"/>
      <c r="AM320" s="28">
        <f t="shared" si="4"/>
        <v>1</v>
      </c>
      <c r="AN320" s="28"/>
    </row>
    <row r="321" spans="1:40">
      <c r="A321" s="28">
        <v>319</v>
      </c>
      <c r="B321" s="29">
        <v>110451</v>
      </c>
      <c r="C321" s="28" t="s">
        <v>319</v>
      </c>
      <c r="D321" s="28"/>
      <c r="E321" s="28">
        <v>20180222</v>
      </c>
      <c r="F321" s="28"/>
      <c r="G321" s="29" t="s">
        <v>283</v>
      </c>
      <c r="H321" s="28" t="s">
        <v>315</v>
      </c>
      <c r="I321" s="28" t="s">
        <v>316</v>
      </c>
      <c r="J321" s="28" t="s">
        <v>58</v>
      </c>
      <c r="K321" s="47"/>
      <c r="L321" s="47"/>
      <c r="M321" s="47"/>
      <c r="N321" s="47"/>
      <c r="O321" s="47"/>
      <c r="P321" s="47"/>
      <c r="Q321" s="47">
        <v>1</v>
      </c>
      <c r="R321" s="47"/>
      <c r="S321" s="47">
        <v>1</v>
      </c>
      <c r="T321" s="47">
        <v>1</v>
      </c>
      <c r="U321" s="47"/>
      <c r="V321" s="47"/>
      <c r="W321" s="47"/>
      <c r="X321" s="47">
        <v>1</v>
      </c>
      <c r="Y321" s="47"/>
      <c r="Z321" s="47"/>
      <c r="AA321" s="47"/>
      <c r="AB321" s="47">
        <v>1</v>
      </c>
      <c r="AC321" s="47"/>
      <c r="AD321" s="47">
        <v>1</v>
      </c>
      <c r="AE321" s="47">
        <v>1</v>
      </c>
      <c r="AF321" s="47"/>
      <c r="AG321" s="47"/>
      <c r="AH321" s="47"/>
      <c r="AI321" s="47"/>
      <c r="AJ321" s="47"/>
      <c r="AK321" s="47"/>
      <c r="AL321" s="47"/>
      <c r="AM321" s="28">
        <f t="shared" si="4"/>
        <v>7</v>
      </c>
      <c r="AN321" s="28"/>
    </row>
    <row r="322" spans="1:40">
      <c r="A322" s="28">
        <v>320</v>
      </c>
      <c r="B322" s="29">
        <v>112008</v>
      </c>
      <c r="C322" s="28" t="s">
        <v>320</v>
      </c>
      <c r="D322" s="28"/>
      <c r="E322" s="28">
        <v>20180619</v>
      </c>
      <c r="F322" s="28"/>
      <c r="G322" s="29" t="s">
        <v>283</v>
      </c>
      <c r="H322" s="28" t="s">
        <v>315</v>
      </c>
      <c r="I322" s="28" t="s">
        <v>316</v>
      </c>
      <c r="J322" s="28" t="s">
        <v>58</v>
      </c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28">
        <f t="shared" si="4"/>
        <v>0</v>
      </c>
      <c r="AN322" s="28"/>
    </row>
    <row r="323" spans="1:40">
      <c r="A323" s="28">
        <v>321</v>
      </c>
      <c r="B323" s="29">
        <v>124548</v>
      </c>
      <c r="C323" s="28" t="s">
        <v>333</v>
      </c>
      <c r="D323" s="28"/>
      <c r="E323" s="28">
        <v>20220113</v>
      </c>
      <c r="F323" s="28"/>
      <c r="G323" s="29" t="s">
        <v>283</v>
      </c>
      <c r="H323" s="28" t="s">
        <v>315</v>
      </c>
      <c r="I323" s="28" t="s">
        <v>316</v>
      </c>
      <c r="J323" s="28" t="s">
        <v>54</v>
      </c>
      <c r="K323" s="47"/>
      <c r="L323" s="47">
        <v>1</v>
      </c>
      <c r="M323" s="47">
        <v>1</v>
      </c>
      <c r="N323" s="47">
        <v>1</v>
      </c>
      <c r="O323" s="47">
        <v>1</v>
      </c>
      <c r="P323" s="47">
        <v>1</v>
      </c>
      <c r="Q323" s="47">
        <v>1</v>
      </c>
      <c r="R323" s="47"/>
      <c r="S323" s="47">
        <v>1</v>
      </c>
      <c r="T323" s="47">
        <v>1</v>
      </c>
      <c r="U323" s="47">
        <v>1</v>
      </c>
      <c r="V323" s="47"/>
      <c r="W323" s="47"/>
      <c r="X323" s="47">
        <v>1</v>
      </c>
      <c r="Y323" s="47"/>
      <c r="Z323" s="47"/>
      <c r="AA323" s="47"/>
      <c r="AB323" s="47">
        <v>1</v>
      </c>
      <c r="AC323" s="47">
        <v>1</v>
      </c>
      <c r="AD323" s="47">
        <v>1</v>
      </c>
      <c r="AE323" s="47">
        <v>1</v>
      </c>
      <c r="AF323" s="47"/>
      <c r="AG323" s="47">
        <v>1</v>
      </c>
      <c r="AH323" s="47">
        <v>1</v>
      </c>
      <c r="AI323" s="47">
        <v>1</v>
      </c>
      <c r="AJ323" s="47">
        <v>1</v>
      </c>
      <c r="AK323" s="47">
        <v>1</v>
      </c>
      <c r="AL323" s="47">
        <v>1</v>
      </c>
      <c r="AM323" s="28">
        <f t="shared" ref="AM323:AM334" si="5">SUM(K323:AL323)</f>
        <v>20</v>
      </c>
      <c r="AN323" s="28"/>
    </row>
    <row r="324" spans="1:40">
      <c r="A324" s="28">
        <v>322</v>
      </c>
      <c r="B324" s="29">
        <v>130305</v>
      </c>
      <c r="C324" s="28" t="s">
        <v>355</v>
      </c>
      <c r="D324" s="28"/>
      <c r="E324" s="28">
        <v>20240321</v>
      </c>
      <c r="F324" s="28"/>
      <c r="G324" s="29" t="s">
        <v>283</v>
      </c>
      <c r="H324" s="28" t="s">
        <v>315</v>
      </c>
      <c r="I324" s="28" t="s">
        <v>316</v>
      </c>
      <c r="J324" s="28" t="s">
        <v>58</v>
      </c>
      <c r="K324" s="47"/>
      <c r="L324" s="47">
        <v>1</v>
      </c>
      <c r="M324" s="47">
        <v>1</v>
      </c>
      <c r="N324" s="47">
        <v>1</v>
      </c>
      <c r="O324" s="47">
        <v>1</v>
      </c>
      <c r="P324" s="47"/>
      <c r="Q324" s="47">
        <v>1</v>
      </c>
      <c r="R324" s="47"/>
      <c r="S324" s="47">
        <v>1</v>
      </c>
      <c r="T324" s="47"/>
      <c r="U324" s="47">
        <v>1</v>
      </c>
      <c r="V324" s="47"/>
      <c r="W324" s="47"/>
      <c r="X324" s="47"/>
      <c r="Y324" s="47"/>
      <c r="Z324" s="47"/>
      <c r="AA324" s="47"/>
      <c r="AB324" s="47">
        <v>1</v>
      </c>
      <c r="AC324" s="47"/>
      <c r="AD324" s="47">
        <v>1</v>
      </c>
      <c r="AE324" s="47">
        <v>1</v>
      </c>
      <c r="AF324" s="47"/>
      <c r="AG324" s="47">
        <v>1</v>
      </c>
      <c r="AH324" s="47"/>
      <c r="AI324" s="47"/>
      <c r="AJ324" s="47">
        <v>1</v>
      </c>
      <c r="AK324" s="47">
        <v>1</v>
      </c>
      <c r="AL324" s="47"/>
      <c r="AM324" s="28">
        <f t="shared" si="5"/>
        <v>13</v>
      </c>
      <c r="AN324" s="28"/>
    </row>
    <row r="325" spans="1:40">
      <c r="A325" s="28">
        <v>323</v>
      </c>
      <c r="B325" s="29">
        <v>134934</v>
      </c>
      <c r="C325" s="28" t="s">
        <v>400</v>
      </c>
      <c r="D325" s="28"/>
      <c r="E325" s="28">
        <v>20250522</v>
      </c>
      <c r="F325" s="28"/>
      <c r="G325" s="29" t="s">
        <v>283</v>
      </c>
      <c r="H325" s="28" t="s">
        <v>315</v>
      </c>
      <c r="I325" s="28" t="s">
        <v>316</v>
      </c>
      <c r="J325" s="28" t="s">
        <v>54</v>
      </c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28">
        <f t="shared" si="5"/>
        <v>0</v>
      </c>
      <c r="AN325" s="28"/>
    </row>
    <row r="326" spans="1:40">
      <c r="A326" s="28">
        <v>324</v>
      </c>
      <c r="B326" s="41">
        <v>135038</v>
      </c>
      <c r="C326" s="40" t="s">
        <v>403</v>
      </c>
      <c r="D326" s="40"/>
      <c r="E326" s="40">
        <v>20250701</v>
      </c>
      <c r="F326" s="40">
        <v>20260228</v>
      </c>
      <c r="G326" s="41" t="s">
        <v>283</v>
      </c>
      <c r="H326" s="40" t="s">
        <v>315</v>
      </c>
      <c r="I326" s="40" t="s">
        <v>316</v>
      </c>
      <c r="J326" s="40" t="s">
        <v>54</v>
      </c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>
        <v>1</v>
      </c>
      <c r="AL326" s="47"/>
      <c r="AM326" s="28">
        <f t="shared" si="5"/>
        <v>1</v>
      </c>
      <c r="AN326" s="28"/>
    </row>
    <row r="327" spans="1:40">
      <c r="A327" s="28">
        <v>325</v>
      </c>
      <c r="B327" s="29">
        <v>135507</v>
      </c>
      <c r="C327" s="28" t="s">
        <v>408</v>
      </c>
      <c r="D327" s="28"/>
      <c r="E327" s="28">
        <v>20250923</v>
      </c>
      <c r="F327" s="28"/>
      <c r="G327" s="29" t="s">
        <v>283</v>
      </c>
      <c r="H327" s="28" t="s">
        <v>315</v>
      </c>
      <c r="I327" s="28" t="s">
        <v>316</v>
      </c>
      <c r="J327" s="28" t="s">
        <v>58</v>
      </c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28">
        <f t="shared" si="5"/>
        <v>0</v>
      </c>
      <c r="AN327" s="28"/>
    </row>
    <row r="328" spans="1:40">
      <c r="A328" s="28">
        <v>326</v>
      </c>
      <c r="B328" s="29">
        <v>136272</v>
      </c>
      <c r="C328" s="28" t="s">
        <v>432</v>
      </c>
      <c r="D328" s="28"/>
      <c r="E328" s="28">
        <v>20260226</v>
      </c>
      <c r="F328" s="28"/>
      <c r="G328" s="29" t="s">
        <v>283</v>
      </c>
      <c r="H328" s="28" t="s">
        <v>315</v>
      </c>
      <c r="I328" s="28" t="s">
        <v>316</v>
      </c>
      <c r="J328" s="28" t="s">
        <v>54</v>
      </c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>
        <f t="shared" si="5"/>
        <v>0</v>
      </c>
      <c r="AN328" s="28"/>
    </row>
    <row r="329" spans="1:40">
      <c r="A329" s="28">
        <v>327</v>
      </c>
      <c r="B329" s="29">
        <v>127635</v>
      </c>
      <c r="C329" s="28" t="s">
        <v>340</v>
      </c>
      <c r="D329" s="28"/>
      <c r="E329" s="28">
        <v>20220614</v>
      </c>
      <c r="F329" s="28"/>
      <c r="G329" s="29" t="s">
        <v>283</v>
      </c>
      <c r="H329" s="28" t="s">
        <v>341</v>
      </c>
      <c r="I329" s="28" t="s">
        <v>133</v>
      </c>
      <c r="J329" s="28" t="s">
        <v>54</v>
      </c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28">
        <f t="shared" si="5"/>
        <v>0</v>
      </c>
      <c r="AN329" s="28"/>
    </row>
    <row r="330" spans="1:40">
      <c r="A330" s="28">
        <v>328</v>
      </c>
      <c r="B330" s="29">
        <v>132669</v>
      </c>
      <c r="C330" s="28" t="s">
        <v>297</v>
      </c>
      <c r="D330" s="28"/>
      <c r="E330" s="28">
        <v>20241025</v>
      </c>
      <c r="F330" s="28"/>
      <c r="G330" s="29" t="s">
        <v>283</v>
      </c>
      <c r="H330" s="28" t="s">
        <v>341</v>
      </c>
      <c r="I330" s="28" t="s">
        <v>133</v>
      </c>
      <c r="J330" s="28" t="s">
        <v>54</v>
      </c>
      <c r="K330" s="47"/>
      <c r="L330" s="47"/>
      <c r="M330" s="47">
        <v>1</v>
      </c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>
        <v>1</v>
      </c>
      <c r="AC330" s="47">
        <v>1</v>
      </c>
      <c r="AD330" s="47"/>
      <c r="AE330" s="47"/>
      <c r="AF330" s="47"/>
      <c r="AG330" s="47">
        <v>1</v>
      </c>
      <c r="AH330" s="47">
        <v>1</v>
      </c>
      <c r="AI330" s="47"/>
      <c r="AJ330" s="47"/>
      <c r="AK330" s="47">
        <v>1</v>
      </c>
      <c r="AL330" s="47">
        <v>1</v>
      </c>
      <c r="AM330" s="28">
        <f t="shared" si="5"/>
        <v>7</v>
      </c>
      <c r="AN330" s="28"/>
    </row>
    <row r="331" spans="1:40">
      <c r="A331" s="28">
        <v>329</v>
      </c>
      <c r="B331" s="29">
        <v>132801</v>
      </c>
      <c r="C331" s="28" t="s">
        <v>370</v>
      </c>
      <c r="D331" s="28"/>
      <c r="E331" s="28">
        <v>20241104</v>
      </c>
      <c r="F331" s="28"/>
      <c r="G331" s="29" t="s">
        <v>283</v>
      </c>
      <c r="H331" s="28" t="s">
        <v>341</v>
      </c>
      <c r="I331" s="28" t="s">
        <v>133</v>
      </c>
      <c r="J331" s="28" t="s">
        <v>54</v>
      </c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28">
        <f t="shared" si="5"/>
        <v>0</v>
      </c>
      <c r="AN331" s="28"/>
    </row>
    <row r="332" spans="1:40">
      <c r="A332" s="28">
        <v>330</v>
      </c>
      <c r="B332" s="29">
        <v>500112</v>
      </c>
      <c r="C332" s="28" t="s">
        <v>421</v>
      </c>
      <c r="D332" s="28"/>
      <c r="E332" s="28">
        <v>20150721</v>
      </c>
      <c r="F332" s="28"/>
      <c r="G332" s="29" t="s">
        <v>283</v>
      </c>
      <c r="H332" s="28" t="s">
        <v>341</v>
      </c>
      <c r="I332" s="28" t="s">
        <v>133</v>
      </c>
      <c r="J332" s="28" t="s">
        <v>54</v>
      </c>
      <c r="K332" s="47"/>
      <c r="L332" s="47"/>
      <c r="M332" s="47">
        <v>1</v>
      </c>
      <c r="N332" s="47"/>
      <c r="O332" s="47"/>
      <c r="P332" s="47"/>
      <c r="Q332" s="47"/>
      <c r="R332" s="47"/>
      <c r="S332" s="47"/>
      <c r="T332" s="47">
        <v>1</v>
      </c>
      <c r="U332" s="47">
        <v>1</v>
      </c>
      <c r="V332" s="47"/>
      <c r="W332" s="47"/>
      <c r="X332" s="47">
        <v>1</v>
      </c>
      <c r="Y332" s="47"/>
      <c r="Z332" s="47"/>
      <c r="AA332" s="47"/>
      <c r="AB332" s="47"/>
      <c r="AC332" s="47">
        <v>1</v>
      </c>
      <c r="AD332" s="47">
        <v>1</v>
      </c>
      <c r="AE332" s="47">
        <v>1</v>
      </c>
      <c r="AF332" s="47"/>
      <c r="AG332" s="47">
        <v>1</v>
      </c>
      <c r="AH332" s="47"/>
      <c r="AI332" s="47">
        <v>1</v>
      </c>
      <c r="AJ332" s="47"/>
      <c r="AK332" s="47">
        <v>1</v>
      </c>
      <c r="AL332" s="47">
        <v>1</v>
      </c>
      <c r="AM332" s="28">
        <f t="shared" si="5"/>
        <v>11</v>
      </c>
      <c r="AN332" s="28"/>
    </row>
    <row r="333" spans="1:40">
      <c r="A333" s="28">
        <v>331</v>
      </c>
      <c r="B333" s="29">
        <v>501260</v>
      </c>
      <c r="C333" s="28" t="s">
        <v>422</v>
      </c>
      <c r="D333" s="28"/>
      <c r="E333" s="28">
        <v>20241205</v>
      </c>
      <c r="F333" s="28"/>
      <c r="G333" s="29" t="s">
        <v>283</v>
      </c>
      <c r="H333" s="28" t="s">
        <v>341</v>
      </c>
      <c r="I333" s="28" t="s">
        <v>133</v>
      </c>
      <c r="J333" s="28" t="s">
        <v>58</v>
      </c>
      <c r="K333" s="47"/>
      <c r="L333" s="47"/>
      <c r="M333" s="47"/>
      <c r="N333" s="47"/>
      <c r="O333" s="47"/>
      <c r="P333" s="47">
        <v>1</v>
      </c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28">
        <f t="shared" si="5"/>
        <v>1</v>
      </c>
      <c r="AN333" s="28"/>
    </row>
    <row r="334" spans="1:40">
      <c r="A334" s="28">
        <v>332</v>
      </c>
      <c r="B334" s="29">
        <v>501288</v>
      </c>
      <c r="C334" s="28" t="s">
        <v>423</v>
      </c>
      <c r="D334" s="28"/>
      <c r="E334" s="28">
        <v>20250610</v>
      </c>
      <c r="F334" s="28"/>
      <c r="G334" s="29" t="s">
        <v>283</v>
      </c>
      <c r="H334" s="28" t="s">
        <v>341</v>
      </c>
      <c r="I334" s="28" t="s">
        <v>133</v>
      </c>
      <c r="J334" s="28" t="s">
        <v>58</v>
      </c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28">
        <f t="shared" si="5"/>
        <v>0</v>
      </c>
      <c r="AN334" s="28"/>
    </row>
  </sheetData>
  <autoFilter ref="A2:AN334">
    <sortState ref="A4:AN334">
      <sortCondition ref="H2:H334"/>
    </sortState>
  </autoFilter>
  <mergeCells count="12">
    <mergeCell ref="AN1:AN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AM1:AM2"/>
  </mergeCells>
  <conditionalFormatting sqref="K2:AN334">
    <cfRule type="expression" dxfId="3" priority="1" stopIfTrue="1">
      <formula>TEXT(K$2,"ddd")="Sun"</formula>
    </cfRule>
    <cfRule type="expression" dxfId="2" priority="2" stopIfTrue="1">
      <formula>LEFT(K$2,3)="Hol"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N334"/>
  <sheetViews>
    <sheetView workbookViewId="0">
      <selection activeCell="A3" sqref="A3:A334"/>
    </sheetView>
  </sheetViews>
  <sheetFormatPr defaultRowHeight="15"/>
  <cols>
    <col min="3" max="3" width="18.7109375" customWidth="1"/>
    <col min="9" max="9" width="18.7109375" customWidth="1"/>
  </cols>
  <sheetData>
    <row r="1" spans="1:40" ht="15.75" customHeight="1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13">
        <v>46054</v>
      </c>
      <c r="L1" s="13">
        <v>46055</v>
      </c>
      <c r="M1" s="13">
        <v>46056</v>
      </c>
      <c r="N1" s="13">
        <v>46057</v>
      </c>
      <c r="O1" s="13">
        <v>46058</v>
      </c>
      <c r="P1" s="13">
        <v>46059</v>
      </c>
      <c r="Q1" s="13">
        <v>46060</v>
      </c>
      <c r="R1" s="13">
        <v>46061</v>
      </c>
      <c r="S1" s="13">
        <v>46062</v>
      </c>
      <c r="T1" s="13">
        <v>46063</v>
      </c>
      <c r="U1" s="13">
        <v>46064</v>
      </c>
      <c r="V1" s="13">
        <v>46065</v>
      </c>
      <c r="W1" s="13">
        <v>46066</v>
      </c>
      <c r="X1" s="13">
        <v>46067</v>
      </c>
      <c r="Y1" s="13">
        <v>46068</v>
      </c>
      <c r="Z1" s="13">
        <v>46069</v>
      </c>
      <c r="AA1" s="13">
        <v>46070</v>
      </c>
      <c r="AB1" s="13">
        <v>46071</v>
      </c>
      <c r="AC1" s="13">
        <v>46072</v>
      </c>
      <c r="AD1" s="13">
        <v>46073</v>
      </c>
      <c r="AE1" s="13">
        <v>46074</v>
      </c>
      <c r="AF1" s="13">
        <v>46075</v>
      </c>
      <c r="AG1" s="13">
        <v>46076</v>
      </c>
      <c r="AH1" s="13">
        <v>46077</v>
      </c>
      <c r="AI1" s="13">
        <v>46078</v>
      </c>
      <c r="AJ1" s="13">
        <v>46079</v>
      </c>
      <c r="AK1" s="13">
        <v>46080</v>
      </c>
      <c r="AL1" s="13">
        <v>46081</v>
      </c>
      <c r="AM1" s="48" t="s">
        <v>25</v>
      </c>
      <c r="AN1" s="48" t="s">
        <v>26</v>
      </c>
    </row>
    <row r="2" spans="1:40">
      <c r="A2" s="49"/>
      <c r="B2" s="49"/>
      <c r="C2" s="49"/>
      <c r="D2" s="49"/>
      <c r="E2" s="49"/>
      <c r="F2" s="49"/>
      <c r="G2" s="49"/>
      <c r="H2" s="49"/>
      <c r="I2" s="49"/>
      <c r="J2" s="49"/>
      <c r="K2" s="27" t="s">
        <v>39</v>
      </c>
      <c r="L2" s="27" t="s">
        <v>40</v>
      </c>
      <c r="M2" s="27" t="s">
        <v>41</v>
      </c>
      <c r="N2" s="27" t="s">
        <v>42</v>
      </c>
      <c r="O2" s="27" t="s">
        <v>43</v>
      </c>
      <c r="P2" s="27" t="s">
        <v>44</v>
      </c>
      <c r="Q2" s="27" t="s">
        <v>45</v>
      </c>
      <c r="R2" s="27" t="s">
        <v>39</v>
      </c>
      <c r="S2" s="27" t="s">
        <v>40</v>
      </c>
      <c r="T2" s="27" t="s">
        <v>41</v>
      </c>
      <c r="U2" s="27" t="s">
        <v>42</v>
      </c>
      <c r="V2" s="27" t="s">
        <v>46</v>
      </c>
      <c r="W2" s="27" t="s">
        <v>47</v>
      </c>
      <c r="X2" s="27" t="s">
        <v>45</v>
      </c>
      <c r="Y2" s="27" t="s">
        <v>39</v>
      </c>
      <c r="Z2" s="27" t="s">
        <v>48</v>
      </c>
      <c r="AA2" s="27" t="s">
        <v>49</v>
      </c>
      <c r="AB2" s="27" t="s">
        <v>42</v>
      </c>
      <c r="AC2" s="27" t="s">
        <v>43</v>
      </c>
      <c r="AD2" s="27" t="s">
        <v>44</v>
      </c>
      <c r="AE2" s="27" t="s">
        <v>45</v>
      </c>
      <c r="AF2" s="27" t="s">
        <v>39</v>
      </c>
      <c r="AG2" s="27" t="s">
        <v>40</v>
      </c>
      <c r="AH2" s="27" t="s">
        <v>41</v>
      </c>
      <c r="AI2" s="27" t="s">
        <v>42</v>
      </c>
      <c r="AJ2" s="27" t="s">
        <v>43</v>
      </c>
      <c r="AK2" s="27" t="s">
        <v>44</v>
      </c>
      <c r="AL2" s="27" t="s">
        <v>45</v>
      </c>
      <c r="AM2" s="48"/>
      <c r="AN2" s="48"/>
    </row>
    <row r="3" spans="1:40">
      <c r="A3" s="28">
        <v>1</v>
      </c>
      <c r="B3" s="29">
        <v>500016</v>
      </c>
      <c r="C3" s="28" t="s">
        <v>67</v>
      </c>
      <c r="D3" s="28"/>
      <c r="E3" s="28">
        <v>20141104</v>
      </c>
      <c r="F3" s="28"/>
      <c r="G3" s="29" t="s">
        <v>51</v>
      </c>
      <c r="H3" s="30" t="s">
        <v>68</v>
      </c>
      <c r="I3" s="28" t="s">
        <v>69</v>
      </c>
      <c r="J3" s="28" t="s">
        <v>54</v>
      </c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28">
        <f t="shared" ref="AM3:AM66" si="0">SUM(K3:AL3)</f>
        <v>0</v>
      </c>
      <c r="AN3" s="28"/>
    </row>
    <row r="4" spans="1:40">
      <c r="A4" s="28">
        <v>2</v>
      </c>
      <c r="B4" s="29">
        <v>500200</v>
      </c>
      <c r="C4" s="28" t="s">
        <v>97</v>
      </c>
      <c r="D4" s="28"/>
      <c r="E4" s="28">
        <v>20151112</v>
      </c>
      <c r="F4" s="28"/>
      <c r="G4" s="29" t="s">
        <v>51</v>
      </c>
      <c r="H4" s="30" t="s">
        <v>68</v>
      </c>
      <c r="I4" s="28" t="s">
        <v>69</v>
      </c>
      <c r="J4" s="28" t="s">
        <v>54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28">
        <f t="shared" si="0"/>
        <v>0</v>
      </c>
      <c r="AN4" s="28"/>
    </row>
    <row r="5" spans="1:40">
      <c r="A5" s="28">
        <v>3</v>
      </c>
      <c r="B5" s="29">
        <v>501200</v>
      </c>
      <c r="C5" s="28" t="s">
        <v>209</v>
      </c>
      <c r="D5" s="28"/>
      <c r="E5" s="28">
        <v>20230822</v>
      </c>
      <c r="F5" s="28"/>
      <c r="G5" s="29" t="s">
        <v>51</v>
      </c>
      <c r="H5" s="30" t="s">
        <v>68</v>
      </c>
      <c r="I5" s="28" t="s">
        <v>69</v>
      </c>
      <c r="J5" s="28" t="s">
        <v>54</v>
      </c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28">
        <f t="shared" si="0"/>
        <v>0</v>
      </c>
      <c r="AN5" s="28"/>
    </row>
    <row r="6" spans="1:40">
      <c r="A6" s="28">
        <v>4</v>
      </c>
      <c r="B6" s="29">
        <v>501203</v>
      </c>
      <c r="C6" s="28" t="s">
        <v>211</v>
      </c>
      <c r="D6" s="28"/>
      <c r="E6" s="28">
        <v>20231114</v>
      </c>
      <c r="F6" s="28"/>
      <c r="G6" s="29" t="s">
        <v>51</v>
      </c>
      <c r="H6" s="30" t="s">
        <v>68</v>
      </c>
      <c r="I6" s="28" t="s">
        <v>69</v>
      </c>
      <c r="J6" s="28" t="s">
        <v>54</v>
      </c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28">
        <f t="shared" si="0"/>
        <v>0</v>
      </c>
      <c r="AN6" s="28"/>
    </row>
    <row r="7" spans="1:40">
      <c r="A7" s="28">
        <v>5</v>
      </c>
      <c r="B7" s="29">
        <v>501257</v>
      </c>
      <c r="C7" s="28" t="s">
        <v>237</v>
      </c>
      <c r="D7" s="28"/>
      <c r="E7" s="28">
        <v>20241121</v>
      </c>
      <c r="F7" s="28"/>
      <c r="G7" s="29" t="s">
        <v>51</v>
      </c>
      <c r="H7" s="30" t="s">
        <v>68</v>
      </c>
      <c r="I7" s="28" t="s">
        <v>69</v>
      </c>
      <c r="J7" s="28" t="s">
        <v>54</v>
      </c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28">
        <f t="shared" si="0"/>
        <v>0</v>
      </c>
      <c r="AN7" s="28"/>
    </row>
    <row r="8" spans="1:40">
      <c r="A8" s="28">
        <v>6</v>
      </c>
      <c r="B8" s="41">
        <v>501277</v>
      </c>
      <c r="C8" s="40" t="s">
        <v>250</v>
      </c>
      <c r="D8" s="40"/>
      <c r="E8" s="40">
        <v>20250502</v>
      </c>
      <c r="F8" s="40">
        <v>20260214</v>
      </c>
      <c r="G8" s="41" t="s">
        <v>51</v>
      </c>
      <c r="H8" s="42" t="s">
        <v>68</v>
      </c>
      <c r="I8" s="40" t="s">
        <v>69</v>
      </c>
      <c r="J8" s="40" t="s">
        <v>54</v>
      </c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28">
        <f t="shared" si="0"/>
        <v>0</v>
      </c>
      <c r="AN8" s="28"/>
    </row>
    <row r="9" spans="1:40">
      <c r="A9" s="28">
        <v>7</v>
      </c>
      <c r="B9" s="29">
        <v>501312</v>
      </c>
      <c r="C9" s="28" t="s">
        <v>274</v>
      </c>
      <c r="D9" s="28"/>
      <c r="E9" s="28">
        <v>20251117</v>
      </c>
      <c r="F9" s="28"/>
      <c r="G9" s="29" t="s">
        <v>51</v>
      </c>
      <c r="H9" s="30" t="s">
        <v>68</v>
      </c>
      <c r="I9" s="28" t="s">
        <v>69</v>
      </c>
      <c r="J9" s="28" t="s">
        <v>54</v>
      </c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28">
        <f t="shared" si="0"/>
        <v>0</v>
      </c>
      <c r="AN9" s="28"/>
    </row>
    <row r="10" spans="1:40">
      <c r="A10" s="28">
        <v>8</v>
      </c>
      <c r="B10" s="29">
        <v>500196</v>
      </c>
      <c r="C10" s="28" t="s">
        <v>94</v>
      </c>
      <c r="D10" s="28"/>
      <c r="E10" s="28">
        <v>20151112</v>
      </c>
      <c r="F10" s="28"/>
      <c r="G10" s="29" t="s">
        <v>51</v>
      </c>
      <c r="H10" s="30" t="s">
        <v>95</v>
      </c>
      <c r="I10" s="28" t="s">
        <v>96</v>
      </c>
      <c r="J10" s="28" t="s">
        <v>58</v>
      </c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28">
        <f t="shared" si="0"/>
        <v>0</v>
      </c>
      <c r="AN10" s="28"/>
    </row>
    <row r="11" spans="1:40">
      <c r="A11" s="28">
        <v>9</v>
      </c>
      <c r="B11" s="29">
        <v>500766</v>
      </c>
      <c r="C11" s="28" t="s">
        <v>165</v>
      </c>
      <c r="D11" s="28"/>
      <c r="E11" s="28">
        <v>20180619</v>
      </c>
      <c r="F11" s="28"/>
      <c r="G11" s="29" t="s">
        <v>51</v>
      </c>
      <c r="H11" s="30" t="s">
        <v>95</v>
      </c>
      <c r="I11" s="28" t="s">
        <v>96</v>
      </c>
      <c r="J11" s="28" t="s">
        <v>58</v>
      </c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28">
        <f t="shared" si="0"/>
        <v>0</v>
      </c>
      <c r="AN11" s="28"/>
    </row>
    <row r="12" spans="1:40">
      <c r="A12" s="28">
        <v>10</v>
      </c>
      <c r="B12" s="29">
        <v>500841</v>
      </c>
      <c r="C12" s="28" t="s">
        <v>177</v>
      </c>
      <c r="D12" s="28"/>
      <c r="E12" s="28">
        <v>20190205</v>
      </c>
      <c r="F12" s="28"/>
      <c r="G12" s="29" t="s">
        <v>51</v>
      </c>
      <c r="H12" s="30" t="s">
        <v>95</v>
      </c>
      <c r="I12" s="28" t="s">
        <v>96</v>
      </c>
      <c r="J12" s="28" t="s">
        <v>58</v>
      </c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28">
        <f t="shared" si="0"/>
        <v>0</v>
      </c>
      <c r="AN12" s="28"/>
    </row>
    <row r="13" spans="1:40">
      <c r="A13" s="28">
        <v>11</v>
      </c>
      <c r="B13" s="29">
        <v>500925</v>
      </c>
      <c r="C13" s="28" t="s">
        <v>181</v>
      </c>
      <c r="D13" s="28"/>
      <c r="E13" s="28">
        <v>20191024</v>
      </c>
      <c r="F13" s="28"/>
      <c r="G13" s="29" t="s">
        <v>51</v>
      </c>
      <c r="H13" s="30" t="s">
        <v>95</v>
      </c>
      <c r="I13" s="28" t="s">
        <v>96</v>
      </c>
      <c r="J13" s="28" t="s">
        <v>58</v>
      </c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28">
        <f t="shared" si="0"/>
        <v>0</v>
      </c>
      <c r="AN13" s="28"/>
    </row>
    <row r="14" spans="1:40">
      <c r="A14" s="28">
        <v>12</v>
      </c>
      <c r="B14" s="29">
        <v>500979</v>
      </c>
      <c r="C14" s="28" t="s">
        <v>190</v>
      </c>
      <c r="D14" s="28"/>
      <c r="E14" s="28">
        <v>20200310</v>
      </c>
      <c r="F14" s="28"/>
      <c r="G14" s="29" t="s">
        <v>51</v>
      </c>
      <c r="H14" s="30" t="s">
        <v>95</v>
      </c>
      <c r="I14" s="28" t="s">
        <v>96</v>
      </c>
      <c r="J14" s="28" t="s">
        <v>58</v>
      </c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28">
        <f t="shared" si="0"/>
        <v>0</v>
      </c>
      <c r="AN14" s="28"/>
    </row>
    <row r="15" spans="1:40">
      <c r="A15" s="28">
        <v>13</v>
      </c>
      <c r="B15" s="29">
        <v>501212</v>
      </c>
      <c r="C15" s="28" t="s">
        <v>214</v>
      </c>
      <c r="D15" s="28"/>
      <c r="E15" s="28">
        <v>20240305</v>
      </c>
      <c r="F15" s="28"/>
      <c r="G15" s="29" t="s">
        <v>51</v>
      </c>
      <c r="H15" s="30" t="s">
        <v>95</v>
      </c>
      <c r="I15" s="28" t="s">
        <v>96</v>
      </c>
      <c r="J15" s="28" t="s">
        <v>58</v>
      </c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28">
        <f t="shared" si="0"/>
        <v>0</v>
      </c>
      <c r="AN15" s="28"/>
    </row>
    <row r="16" spans="1:40">
      <c r="A16" s="28">
        <v>14</v>
      </c>
      <c r="B16" s="29">
        <v>501246</v>
      </c>
      <c r="C16" s="28" t="s">
        <v>228</v>
      </c>
      <c r="D16" s="28"/>
      <c r="E16" s="28">
        <v>20240913</v>
      </c>
      <c r="F16" s="28"/>
      <c r="G16" s="29" t="s">
        <v>51</v>
      </c>
      <c r="H16" s="30" t="s">
        <v>95</v>
      </c>
      <c r="I16" s="28" t="s">
        <v>96</v>
      </c>
      <c r="J16" s="28" t="s">
        <v>58</v>
      </c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28">
        <f t="shared" si="0"/>
        <v>0</v>
      </c>
      <c r="AN16" s="28"/>
    </row>
    <row r="17" spans="1:40">
      <c r="A17" s="28">
        <v>15</v>
      </c>
      <c r="B17" s="29">
        <v>501261</v>
      </c>
      <c r="C17" s="28" t="s">
        <v>87</v>
      </c>
      <c r="D17" s="28"/>
      <c r="E17" s="28">
        <v>20241212</v>
      </c>
      <c r="F17" s="28"/>
      <c r="G17" s="29" t="s">
        <v>51</v>
      </c>
      <c r="H17" s="30" t="s">
        <v>95</v>
      </c>
      <c r="I17" s="28" t="s">
        <v>96</v>
      </c>
      <c r="J17" s="28" t="s">
        <v>58</v>
      </c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28">
        <f t="shared" si="0"/>
        <v>0</v>
      </c>
      <c r="AN17" s="28"/>
    </row>
    <row r="18" spans="1:40">
      <c r="A18" s="28">
        <v>16</v>
      </c>
      <c r="B18" s="29">
        <v>500511</v>
      </c>
      <c r="C18" s="28" t="s">
        <v>144</v>
      </c>
      <c r="D18" s="28"/>
      <c r="E18" s="28">
        <v>20170314</v>
      </c>
      <c r="F18" s="28"/>
      <c r="G18" s="29" t="s">
        <v>51</v>
      </c>
      <c r="H18" s="30" t="s">
        <v>145</v>
      </c>
      <c r="I18" s="28" t="s">
        <v>146</v>
      </c>
      <c r="J18" s="28" t="s">
        <v>54</v>
      </c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28">
        <f t="shared" si="0"/>
        <v>0</v>
      </c>
      <c r="AN18" s="28"/>
    </row>
    <row r="19" spans="1:40">
      <c r="A19" s="28">
        <v>17</v>
      </c>
      <c r="B19" s="29">
        <v>500512</v>
      </c>
      <c r="C19" s="28" t="s">
        <v>147</v>
      </c>
      <c r="D19" s="28"/>
      <c r="E19" s="28">
        <v>20170321</v>
      </c>
      <c r="F19" s="28"/>
      <c r="G19" s="29" t="s">
        <v>51</v>
      </c>
      <c r="H19" s="30" t="s">
        <v>145</v>
      </c>
      <c r="I19" s="28" t="s">
        <v>146</v>
      </c>
      <c r="J19" s="28" t="s">
        <v>54</v>
      </c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28">
        <f t="shared" si="0"/>
        <v>0</v>
      </c>
      <c r="AN19" s="28"/>
    </row>
    <row r="20" spans="1:40">
      <c r="A20" s="28">
        <v>18</v>
      </c>
      <c r="B20" s="29">
        <v>500827</v>
      </c>
      <c r="C20" s="28" t="s">
        <v>174</v>
      </c>
      <c r="D20" s="28"/>
      <c r="E20" s="28">
        <v>20181220</v>
      </c>
      <c r="F20" s="28"/>
      <c r="G20" s="29" t="s">
        <v>51</v>
      </c>
      <c r="H20" s="30" t="s">
        <v>145</v>
      </c>
      <c r="I20" s="28" t="s">
        <v>146</v>
      </c>
      <c r="J20" s="28" t="s">
        <v>54</v>
      </c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28">
        <f t="shared" si="0"/>
        <v>0</v>
      </c>
      <c r="AN20" s="28"/>
    </row>
    <row r="21" spans="1:40">
      <c r="A21" s="28">
        <v>19</v>
      </c>
      <c r="B21" s="29">
        <v>501201</v>
      </c>
      <c r="C21" s="28" t="s">
        <v>210</v>
      </c>
      <c r="D21" s="28"/>
      <c r="E21" s="28">
        <v>20230914</v>
      </c>
      <c r="F21" s="28"/>
      <c r="G21" s="29" t="s">
        <v>51</v>
      </c>
      <c r="H21" s="30" t="s">
        <v>145</v>
      </c>
      <c r="I21" s="28" t="s">
        <v>146</v>
      </c>
      <c r="J21" s="28" t="s">
        <v>54</v>
      </c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28">
        <f t="shared" si="0"/>
        <v>0</v>
      </c>
      <c r="AN21" s="28"/>
    </row>
    <row r="22" spans="1:40">
      <c r="A22" s="28">
        <v>20</v>
      </c>
      <c r="B22" s="29">
        <v>501208</v>
      </c>
      <c r="C22" s="28" t="s">
        <v>213</v>
      </c>
      <c r="D22" s="28"/>
      <c r="E22" s="28">
        <v>20240215</v>
      </c>
      <c r="F22" s="28"/>
      <c r="G22" s="29" t="s">
        <v>51</v>
      </c>
      <c r="H22" s="30" t="s">
        <v>145</v>
      </c>
      <c r="I22" s="28" t="s">
        <v>146</v>
      </c>
      <c r="J22" s="28" t="s">
        <v>54</v>
      </c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28">
        <f t="shared" si="0"/>
        <v>0</v>
      </c>
      <c r="AN22" s="28"/>
    </row>
    <row r="23" spans="1:40">
      <c r="A23" s="28">
        <v>21</v>
      </c>
      <c r="B23" s="29">
        <v>501248</v>
      </c>
      <c r="C23" s="28" t="s">
        <v>230</v>
      </c>
      <c r="D23" s="28"/>
      <c r="E23" s="28">
        <v>20240920</v>
      </c>
      <c r="F23" s="28"/>
      <c r="G23" s="29" t="s">
        <v>51</v>
      </c>
      <c r="H23" s="30" t="s">
        <v>145</v>
      </c>
      <c r="I23" s="28" t="s">
        <v>146</v>
      </c>
      <c r="J23" s="28" t="s">
        <v>54</v>
      </c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28">
        <f t="shared" si="0"/>
        <v>0</v>
      </c>
      <c r="AN23" s="28"/>
    </row>
    <row r="24" spans="1:40">
      <c r="A24" s="28">
        <v>22</v>
      </c>
      <c r="B24" s="29">
        <v>501254</v>
      </c>
      <c r="C24" s="28" t="s">
        <v>235</v>
      </c>
      <c r="D24" s="28"/>
      <c r="E24" s="28">
        <v>20241023</v>
      </c>
      <c r="F24" s="28"/>
      <c r="G24" s="29" t="s">
        <v>51</v>
      </c>
      <c r="H24" s="30" t="s">
        <v>145</v>
      </c>
      <c r="I24" s="28" t="s">
        <v>146</v>
      </c>
      <c r="J24" s="28" t="s">
        <v>54</v>
      </c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28">
        <f t="shared" si="0"/>
        <v>0</v>
      </c>
      <c r="AN24" s="28"/>
    </row>
    <row r="25" spans="1:40">
      <c r="A25" s="28">
        <v>23</v>
      </c>
      <c r="B25" s="29">
        <v>501264</v>
      </c>
      <c r="C25" s="28" t="s">
        <v>241</v>
      </c>
      <c r="D25" s="28"/>
      <c r="E25" s="28">
        <v>20250108</v>
      </c>
      <c r="F25" s="28"/>
      <c r="G25" s="29" t="s">
        <v>51</v>
      </c>
      <c r="H25" s="30" t="s">
        <v>145</v>
      </c>
      <c r="I25" s="28" t="s">
        <v>146</v>
      </c>
      <c r="J25" s="28" t="s">
        <v>54</v>
      </c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28">
        <f t="shared" si="0"/>
        <v>0</v>
      </c>
      <c r="AN25" s="28"/>
    </row>
    <row r="26" spans="1:40">
      <c r="A26" s="28">
        <v>24</v>
      </c>
      <c r="B26" s="29">
        <v>501282</v>
      </c>
      <c r="C26" s="28" t="s">
        <v>254</v>
      </c>
      <c r="D26" s="28"/>
      <c r="E26" s="28">
        <v>20250515</v>
      </c>
      <c r="F26" s="28"/>
      <c r="G26" s="29" t="s">
        <v>51</v>
      </c>
      <c r="H26" s="30" t="s">
        <v>145</v>
      </c>
      <c r="I26" s="28" t="s">
        <v>146</v>
      </c>
      <c r="J26" s="28" t="s">
        <v>54</v>
      </c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28">
        <f t="shared" si="0"/>
        <v>0</v>
      </c>
      <c r="AN26" s="28"/>
    </row>
    <row r="27" spans="1:40">
      <c r="A27" s="28">
        <v>25</v>
      </c>
      <c r="B27" s="29">
        <v>501297</v>
      </c>
      <c r="C27" s="28" t="s">
        <v>260</v>
      </c>
      <c r="D27" s="28"/>
      <c r="E27" s="28">
        <v>20250904</v>
      </c>
      <c r="F27" s="28"/>
      <c r="G27" s="29" t="s">
        <v>51</v>
      </c>
      <c r="H27" s="30" t="s">
        <v>145</v>
      </c>
      <c r="I27" s="28" t="s">
        <v>146</v>
      </c>
      <c r="J27" s="28" t="s">
        <v>54</v>
      </c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28">
        <f t="shared" si="0"/>
        <v>0</v>
      </c>
      <c r="AN27" s="28"/>
    </row>
    <row r="28" spans="1:40">
      <c r="A28" s="28">
        <v>26</v>
      </c>
      <c r="B28" s="29">
        <v>501304</v>
      </c>
      <c r="C28" s="28" t="s">
        <v>266</v>
      </c>
      <c r="D28" s="28"/>
      <c r="E28" s="28">
        <v>20251106</v>
      </c>
      <c r="F28" s="28"/>
      <c r="G28" s="29" t="s">
        <v>51</v>
      </c>
      <c r="H28" s="30" t="s">
        <v>145</v>
      </c>
      <c r="I28" s="28" t="s">
        <v>146</v>
      </c>
      <c r="J28" s="28" t="s">
        <v>54</v>
      </c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28">
        <f t="shared" si="0"/>
        <v>0</v>
      </c>
      <c r="AN28" s="28"/>
    </row>
    <row r="29" spans="1:40">
      <c r="A29" s="28">
        <v>27</v>
      </c>
      <c r="B29" s="29">
        <v>501263</v>
      </c>
      <c r="C29" s="28" t="s">
        <v>238</v>
      </c>
      <c r="D29" s="28"/>
      <c r="E29" s="28">
        <v>20250108</v>
      </c>
      <c r="F29" s="28"/>
      <c r="G29" s="29" t="s">
        <v>51</v>
      </c>
      <c r="H29" s="30" t="s">
        <v>239</v>
      </c>
      <c r="I29" s="28" t="s">
        <v>240</v>
      </c>
      <c r="J29" s="28" t="s">
        <v>58</v>
      </c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28">
        <f t="shared" si="0"/>
        <v>0</v>
      </c>
      <c r="AN29" s="28"/>
    </row>
    <row r="30" spans="1:40">
      <c r="A30" s="28">
        <v>28</v>
      </c>
      <c r="B30" s="29">
        <v>111670</v>
      </c>
      <c r="C30" s="28" t="s">
        <v>55</v>
      </c>
      <c r="D30" s="28"/>
      <c r="E30" s="28">
        <v>20180522</v>
      </c>
      <c r="F30" s="28"/>
      <c r="G30" s="29" t="s">
        <v>51</v>
      </c>
      <c r="H30" s="30" t="s">
        <v>56</v>
      </c>
      <c r="I30" s="28" t="s">
        <v>57</v>
      </c>
      <c r="J30" s="28" t="s">
        <v>58</v>
      </c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28">
        <f t="shared" si="0"/>
        <v>0</v>
      </c>
      <c r="AN30" s="28"/>
    </row>
    <row r="31" spans="1:40">
      <c r="A31" s="28">
        <v>29</v>
      </c>
      <c r="B31" s="29">
        <v>128663</v>
      </c>
      <c r="C31" s="28" t="s">
        <v>59</v>
      </c>
      <c r="D31" s="28"/>
      <c r="E31" s="28">
        <v>20220823</v>
      </c>
      <c r="F31" s="28"/>
      <c r="G31" s="29" t="s">
        <v>51</v>
      </c>
      <c r="H31" s="30" t="s">
        <v>56</v>
      </c>
      <c r="I31" s="28" t="s">
        <v>57</v>
      </c>
      <c r="J31" s="28" t="s">
        <v>58</v>
      </c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28">
        <f t="shared" si="0"/>
        <v>0</v>
      </c>
      <c r="AN31" s="28"/>
    </row>
    <row r="32" spans="1:40">
      <c r="A32" s="28">
        <v>30</v>
      </c>
      <c r="B32" s="29">
        <v>500208</v>
      </c>
      <c r="C32" s="28" t="s">
        <v>98</v>
      </c>
      <c r="D32" s="28"/>
      <c r="E32" s="28">
        <v>20151124</v>
      </c>
      <c r="F32" s="28"/>
      <c r="G32" s="29" t="s">
        <v>51</v>
      </c>
      <c r="H32" s="30" t="s">
        <v>56</v>
      </c>
      <c r="I32" s="28" t="s">
        <v>57</v>
      </c>
      <c r="J32" s="28" t="s">
        <v>58</v>
      </c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28">
        <f t="shared" si="0"/>
        <v>0</v>
      </c>
      <c r="AN32" s="28"/>
    </row>
    <row r="33" spans="1:40">
      <c r="A33" s="28">
        <v>31</v>
      </c>
      <c r="B33" s="29">
        <v>500295</v>
      </c>
      <c r="C33" s="28" t="s">
        <v>109</v>
      </c>
      <c r="D33" s="28"/>
      <c r="E33" s="28">
        <v>20160421</v>
      </c>
      <c r="F33" s="28"/>
      <c r="G33" s="29" t="s">
        <v>51</v>
      </c>
      <c r="H33" s="30" t="s">
        <v>56</v>
      </c>
      <c r="I33" s="28" t="s">
        <v>57</v>
      </c>
      <c r="J33" s="28" t="s">
        <v>58</v>
      </c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28">
        <f t="shared" si="0"/>
        <v>0</v>
      </c>
      <c r="AN33" s="28"/>
    </row>
    <row r="34" spans="1:40">
      <c r="A34" s="28">
        <v>32</v>
      </c>
      <c r="B34" s="29">
        <v>500778</v>
      </c>
      <c r="C34" s="28" t="s">
        <v>168</v>
      </c>
      <c r="D34" s="28"/>
      <c r="E34" s="28">
        <v>20180710</v>
      </c>
      <c r="F34" s="28"/>
      <c r="G34" s="29" t="s">
        <v>51</v>
      </c>
      <c r="H34" s="30" t="s">
        <v>56</v>
      </c>
      <c r="I34" s="28" t="s">
        <v>57</v>
      </c>
      <c r="J34" s="28" t="s">
        <v>58</v>
      </c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28">
        <f t="shared" si="0"/>
        <v>0</v>
      </c>
      <c r="AN34" s="28"/>
    </row>
    <row r="35" spans="1:40">
      <c r="A35" s="28">
        <v>33</v>
      </c>
      <c r="B35" s="29">
        <v>501131</v>
      </c>
      <c r="C35" s="28" t="s">
        <v>204</v>
      </c>
      <c r="D35" s="28"/>
      <c r="E35" s="28">
        <v>20220614</v>
      </c>
      <c r="F35" s="28"/>
      <c r="G35" s="29" t="s">
        <v>51</v>
      </c>
      <c r="H35" s="30" t="s">
        <v>56</v>
      </c>
      <c r="I35" s="28" t="s">
        <v>57</v>
      </c>
      <c r="J35" s="28" t="s">
        <v>58</v>
      </c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28">
        <f t="shared" si="0"/>
        <v>0</v>
      </c>
      <c r="AN35" s="28"/>
    </row>
    <row r="36" spans="1:40">
      <c r="A36" s="28">
        <v>34</v>
      </c>
      <c r="B36" s="29">
        <v>501229</v>
      </c>
      <c r="C36" s="28" t="s">
        <v>220</v>
      </c>
      <c r="D36" s="28"/>
      <c r="E36" s="28">
        <v>20240704</v>
      </c>
      <c r="F36" s="28"/>
      <c r="G36" s="29" t="s">
        <v>51</v>
      </c>
      <c r="H36" s="30" t="s">
        <v>56</v>
      </c>
      <c r="I36" s="28" t="s">
        <v>57</v>
      </c>
      <c r="J36" s="28" t="s">
        <v>58</v>
      </c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28">
        <f t="shared" si="0"/>
        <v>0</v>
      </c>
      <c r="AN36" s="28"/>
    </row>
    <row r="37" spans="1:40">
      <c r="A37" s="28">
        <v>35</v>
      </c>
      <c r="B37" s="29">
        <v>501240</v>
      </c>
      <c r="C37" s="28" t="s">
        <v>225</v>
      </c>
      <c r="D37" s="28"/>
      <c r="E37" s="28">
        <v>20240827</v>
      </c>
      <c r="F37" s="28"/>
      <c r="G37" s="29" t="s">
        <v>51</v>
      </c>
      <c r="H37" s="30" t="s">
        <v>56</v>
      </c>
      <c r="I37" s="28" t="s">
        <v>57</v>
      </c>
      <c r="J37" s="28" t="s">
        <v>58</v>
      </c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28">
        <f t="shared" si="0"/>
        <v>0</v>
      </c>
      <c r="AN37" s="28"/>
    </row>
    <row r="38" spans="1:40">
      <c r="A38" s="28">
        <v>36</v>
      </c>
      <c r="B38" s="29">
        <v>501251</v>
      </c>
      <c r="C38" s="28" t="s">
        <v>233</v>
      </c>
      <c r="D38" s="28"/>
      <c r="E38" s="28">
        <v>20241014</v>
      </c>
      <c r="F38" s="28"/>
      <c r="G38" s="29" t="s">
        <v>51</v>
      </c>
      <c r="H38" s="30" t="s">
        <v>56</v>
      </c>
      <c r="I38" s="28" t="s">
        <v>57</v>
      </c>
      <c r="J38" s="28" t="s">
        <v>58</v>
      </c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28">
        <f t="shared" si="0"/>
        <v>0</v>
      </c>
      <c r="AN38" s="28"/>
    </row>
    <row r="39" spans="1:40">
      <c r="A39" s="28">
        <v>37</v>
      </c>
      <c r="B39" s="29">
        <v>500183</v>
      </c>
      <c r="C39" s="28" t="s">
        <v>89</v>
      </c>
      <c r="D39" s="28"/>
      <c r="E39" s="28">
        <v>20151023</v>
      </c>
      <c r="F39" s="28"/>
      <c r="G39" s="29" t="s">
        <v>51</v>
      </c>
      <c r="H39" s="30" t="s">
        <v>90</v>
      </c>
      <c r="I39" s="28" t="s">
        <v>91</v>
      </c>
      <c r="J39" s="28" t="s">
        <v>58</v>
      </c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28">
        <f t="shared" si="0"/>
        <v>0</v>
      </c>
      <c r="AN39" s="28"/>
    </row>
    <row r="40" spans="1:40">
      <c r="A40" s="28">
        <v>38</v>
      </c>
      <c r="B40" s="29">
        <v>500278</v>
      </c>
      <c r="C40" s="28" t="s">
        <v>107</v>
      </c>
      <c r="D40" s="28"/>
      <c r="E40" s="28">
        <v>20160218</v>
      </c>
      <c r="F40" s="28"/>
      <c r="G40" s="29" t="s">
        <v>51</v>
      </c>
      <c r="H40" s="30" t="s">
        <v>90</v>
      </c>
      <c r="I40" s="28" t="s">
        <v>91</v>
      </c>
      <c r="J40" s="28" t="s">
        <v>58</v>
      </c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28">
        <f t="shared" si="0"/>
        <v>0</v>
      </c>
      <c r="AN40" s="28"/>
    </row>
    <row r="41" spans="1:40">
      <c r="A41" s="28">
        <v>39</v>
      </c>
      <c r="B41" s="29">
        <v>500546</v>
      </c>
      <c r="C41" s="28" t="s">
        <v>152</v>
      </c>
      <c r="D41" s="28"/>
      <c r="E41" s="28">
        <v>20170523</v>
      </c>
      <c r="F41" s="28"/>
      <c r="G41" s="29" t="s">
        <v>51</v>
      </c>
      <c r="H41" s="30" t="s">
        <v>90</v>
      </c>
      <c r="I41" s="28" t="s">
        <v>91</v>
      </c>
      <c r="J41" s="28" t="s">
        <v>54</v>
      </c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28">
        <f t="shared" si="0"/>
        <v>0</v>
      </c>
      <c r="AN41" s="28"/>
    </row>
    <row r="42" spans="1:40">
      <c r="A42" s="28">
        <v>40</v>
      </c>
      <c r="B42" s="29">
        <v>500793</v>
      </c>
      <c r="C42" s="28" t="s">
        <v>171</v>
      </c>
      <c r="D42" s="28"/>
      <c r="E42" s="28">
        <v>20180911</v>
      </c>
      <c r="F42" s="28"/>
      <c r="G42" s="29" t="s">
        <v>51</v>
      </c>
      <c r="H42" s="30" t="s">
        <v>90</v>
      </c>
      <c r="I42" s="28" t="s">
        <v>91</v>
      </c>
      <c r="J42" s="28" t="s">
        <v>58</v>
      </c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28">
        <f t="shared" si="0"/>
        <v>0</v>
      </c>
      <c r="AN42" s="28"/>
    </row>
    <row r="43" spans="1:40">
      <c r="A43" s="28">
        <v>41</v>
      </c>
      <c r="B43" s="29">
        <v>501058</v>
      </c>
      <c r="C43" s="28" t="s">
        <v>194</v>
      </c>
      <c r="D43" s="28"/>
      <c r="E43" s="28">
        <v>20210622</v>
      </c>
      <c r="F43" s="28"/>
      <c r="G43" s="29" t="s">
        <v>51</v>
      </c>
      <c r="H43" s="30" t="s">
        <v>90</v>
      </c>
      <c r="I43" s="28" t="s">
        <v>91</v>
      </c>
      <c r="J43" s="28" t="s">
        <v>58</v>
      </c>
      <c r="K43" s="47">
        <v>1</v>
      </c>
      <c r="L43" s="47"/>
      <c r="M43" s="47">
        <v>1</v>
      </c>
      <c r="N43" s="47">
        <v>1</v>
      </c>
      <c r="O43" s="47">
        <v>1</v>
      </c>
      <c r="P43" s="47">
        <v>1</v>
      </c>
      <c r="Q43" s="47"/>
      <c r="R43" s="47">
        <v>1</v>
      </c>
      <c r="S43" s="47"/>
      <c r="T43" s="47">
        <v>1</v>
      </c>
      <c r="U43" s="47">
        <v>1</v>
      </c>
      <c r="V43" s="47">
        <v>1</v>
      </c>
      <c r="W43" s="47">
        <v>1</v>
      </c>
      <c r="X43" s="47">
        <v>1</v>
      </c>
      <c r="Y43" s="47">
        <v>1</v>
      </c>
      <c r="Z43" s="47"/>
      <c r="AA43" s="47">
        <v>1</v>
      </c>
      <c r="AB43" s="47">
        <v>1</v>
      </c>
      <c r="AC43" s="47">
        <v>1</v>
      </c>
      <c r="AD43" s="47">
        <v>1</v>
      </c>
      <c r="AE43" s="47">
        <v>1</v>
      </c>
      <c r="AF43" s="47">
        <v>1</v>
      </c>
      <c r="AG43" s="47"/>
      <c r="AH43" s="47">
        <v>1</v>
      </c>
      <c r="AI43" s="47">
        <v>1</v>
      </c>
      <c r="AJ43" s="47">
        <v>1</v>
      </c>
      <c r="AK43" s="47">
        <v>1</v>
      </c>
      <c r="AL43" s="47">
        <v>1</v>
      </c>
      <c r="AM43" s="28">
        <f t="shared" si="0"/>
        <v>23</v>
      </c>
      <c r="AN43" s="28"/>
    </row>
    <row r="44" spans="1:40">
      <c r="A44" s="28">
        <v>42</v>
      </c>
      <c r="B44" s="29">
        <v>501088</v>
      </c>
      <c r="C44" s="28" t="s">
        <v>198</v>
      </c>
      <c r="D44" s="28"/>
      <c r="E44" s="28">
        <v>20211123</v>
      </c>
      <c r="F44" s="28"/>
      <c r="G44" s="29" t="s">
        <v>51</v>
      </c>
      <c r="H44" s="30" t="s">
        <v>90</v>
      </c>
      <c r="I44" s="28" t="s">
        <v>91</v>
      </c>
      <c r="J44" s="28" t="s">
        <v>58</v>
      </c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28">
        <f t="shared" si="0"/>
        <v>0</v>
      </c>
      <c r="AN44" s="28"/>
    </row>
    <row r="45" spans="1:40">
      <c r="A45" s="28">
        <v>43</v>
      </c>
      <c r="B45" s="29">
        <v>501091</v>
      </c>
      <c r="C45" s="28" t="s">
        <v>199</v>
      </c>
      <c r="D45" s="28"/>
      <c r="E45" s="28">
        <v>20211125</v>
      </c>
      <c r="F45" s="28"/>
      <c r="G45" s="29" t="s">
        <v>51</v>
      </c>
      <c r="H45" s="30" t="s">
        <v>90</v>
      </c>
      <c r="I45" s="28" t="s">
        <v>91</v>
      </c>
      <c r="J45" s="28" t="s">
        <v>58</v>
      </c>
      <c r="K45" s="47"/>
      <c r="L45" s="47">
        <v>1</v>
      </c>
      <c r="M45" s="47">
        <v>1</v>
      </c>
      <c r="N45" s="47">
        <v>1</v>
      </c>
      <c r="O45" s="47">
        <v>1</v>
      </c>
      <c r="P45" s="47">
        <v>1</v>
      </c>
      <c r="Q45" s="47">
        <v>1</v>
      </c>
      <c r="R45" s="47"/>
      <c r="S45" s="47">
        <v>1</v>
      </c>
      <c r="T45" s="47">
        <v>1</v>
      </c>
      <c r="U45" s="47">
        <v>1</v>
      </c>
      <c r="V45" s="47">
        <v>1</v>
      </c>
      <c r="W45" s="47">
        <v>1</v>
      </c>
      <c r="X45" s="47">
        <v>1</v>
      </c>
      <c r="Y45" s="47"/>
      <c r="Z45" s="47">
        <v>1</v>
      </c>
      <c r="AA45" s="47">
        <v>1</v>
      </c>
      <c r="AB45" s="47">
        <v>1</v>
      </c>
      <c r="AC45" s="47">
        <v>1</v>
      </c>
      <c r="AD45" s="47">
        <v>1</v>
      </c>
      <c r="AE45" s="47">
        <v>1</v>
      </c>
      <c r="AF45" s="47"/>
      <c r="AG45" s="47">
        <v>1</v>
      </c>
      <c r="AH45" s="47">
        <v>1</v>
      </c>
      <c r="AI45" s="47">
        <v>1</v>
      </c>
      <c r="AJ45" s="47">
        <v>1</v>
      </c>
      <c r="AK45" s="47">
        <v>1</v>
      </c>
      <c r="AL45" s="47">
        <v>1</v>
      </c>
      <c r="AM45" s="28">
        <f t="shared" si="0"/>
        <v>24</v>
      </c>
      <c r="AN45" s="28"/>
    </row>
    <row r="46" spans="1:40">
      <c r="A46" s="28">
        <v>44</v>
      </c>
      <c r="B46" s="29">
        <v>501109</v>
      </c>
      <c r="C46" s="28" t="s">
        <v>201</v>
      </c>
      <c r="D46" s="28"/>
      <c r="E46" s="28">
        <v>20220127</v>
      </c>
      <c r="F46" s="28"/>
      <c r="G46" s="29" t="s">
        <v>51</v>
      </c>
      <c r="H46" s="30" t="s">
        <v>90</v>
      </c>
      <c r="I46" s="28" t="s">
        <v>91</v>
      </c>
      <c r="J46" s="28" t="s">
        <v>58</v>
      </c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28">
        <f t="shared" si="0"/>
        <v>0</v>
      </c>
      <c r="AN46" s="28"/>
    </row>
    <row r="47" spans="1:40">
      <c r="A47" s="28">
        <v>45</v>
      </c>
      <c r="B47" s="29">
        <v>501238</v>
      </c>
      <c r="C47" s="28" t="s">
        <v>223</v>
      </c>
      <c r="D47" s="28"/>
      <c r="E47" s="28">
        <v>20240822</v>
      </c>
      <c r="F47" s="28"/>
      <c r="G47" s="29" t="s">
        <v>51</v>
      </c>
      <c r="H47" s="30" t="s">
        <v>90</v>
      </c>
      <c r="I47" s="28" t="s">
        <v>91</v>
      </c>
      <c r="J47" s="28" t="s">
        <v>58</v>
      </c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28">
        <f t="shared" si="0"/>
        <v>0</v>
      </c>
      <c r="AN47" s="28"/>
    </row>
    <row r="48" spans="1:40">
      <c r="A48" s="28">
        <v>46</v>
      </c>
      <c r="B48" s="29">
        <v>501269</v>
      </c>
      <c r="C48" s="28" t="s">
        <v>244</v>
      </c>
      <c r="D48" s="28"/>
      <c r="E48" s="28">
        <v>20250310</v>
      </c>
      <c r="F48" s="28"/>
      <c r="G48" s="29" t="s">
        <v>51</v>
      </c>
      <c r="H48" s="30" t="s">
        <v>90</v>
      </c>
      <c r="I48" s="28" t="s">
        <v>91</v>
      </c>
      <c r="J48" s="28" t="s">
        <v>58</v>
      </c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28">
        <f t="shared" si="0"/>
        <v>0</v>
      </c>
      <c r="AN48" s="28"/>
    </row>
    <row r="49" spans="1:40">
      <c r="A49" s="28">
        <v>47</v>
      </c>
      <c r="B49" s="29">
        <v>500042</v>
      </c>
      <c r="C49" s="28" t="s">
        <v>73</v>
      </c>
      <c r="D49" s="28"/>
      <c r="E49" s="28">
        <v>20150305</v>
      </c>
      <c r="F49" s="28"/>
      <c r="G49" s="29" t="s">
        <v>51</v>
      </c>
      <c r="H49" s="30" t="s">
        <v>74</v>
      </c>
      <c r="I49" s="28" t="s">
        <v>75</v>
      </c>
      <c r="J49" s="28" t="s">
        <v>58</v>
      </c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28">
        <f t="shared" si="0"/>
        <v>0</v>
      </c>
      <c r="AN49" s="28"/>
    </row>
    <row r="50" spans="1:40">
      <c r="A50" s="28">
        <v>48</v>
      </c>
      <c r="B50" s="29">
        <v>500126</v>
      </c>
      <c r="C50" s="28" t="s">
        <v>87</v>
      </c>
      <c r="D50" s="28"/>
      <c r="E50" s="28">
        <v>20150729</v>
      </c>
      <c r="F50" s="28"/>
      <c r="G50" s="29" t="s">
        <v>51</v>
      </c>
      <c r="H50" s="30" t="s">
        <v>74</v>
      </c>
      <c r="I50" s="28" t="s">
        <v>75</v>
      </c>
      <c r="J50" s="28" t="s">
        <v>58</v>
      </c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28">
        <f t="shared" si="0"/>
        <v>0</v>
      </c>
      <c r="AN50" s="28"/>
    </row>
    <row r="51" spans="1:40">
      <c r="A51" s="28">
        <v>49</v>
      </c>
      <c r="B51" s="29">
        <v>500226</v>
      </c>
      <c r="C51" s="28" t="s">
        <v>100</v>
      </c>
      <c r="D51" s="28"/>
      <c r="E51" s="28">
        <v>20151210</v>
      </c>
      <c r="F51" s="28"/>
      <c r="G51" s="29" t="s">
        <v>51</v>
      </c>
      <c r="H51" s="30" t="s">
        <v>74</v>
      </c>
      <c r="I51" s="28" t="s">
        <v>75</v>
      </c>
      <c r="J51" s="28" t="s">
        <v>54</v>
      </c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28">
        <f t="shared" si="0"/>
        <v>0</v>
      </c>
      <c r="AN51" s="28"/>
    </row>
    <row r="52" spans="1:40">
      <c r="A52" s="28">
        <v>50</v>
      </c>
      <c r="B52" s="29">
        <v>500366</v>
      </c>
      <c r="C52" s="28" t="s">
        <v>123</v>
      </c>
      <c r="D52" s="28"/>
      <c r="E52" s="28">
        <v>20160901</v>
      </c>
      <c r="F52" s="28"/>
      <c r="G52" s="29" t="s">
        <v>51</v>
      </c>
      <c r="H52" s="30" t="s">
        <v>74</v>
      </c>
      <c r="I52" s="28" t="s">
        <v>75</v>
      </c>
      <c r="J52" s="28" t="s">
        <v>54</v>
      </c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28">
        <f t="shared" si="0"/>
        <v>0</v>
      </c>
      <c r="AN52" s="28"/>
    </row>
    <row r="53" spans="1:40">
      <c r="A53" s="28">
        <v>51</v>
      </c>
      <c r="B53" s="29">
        <v>500436</v>
      </c>
      <c r="C53" s="28" t="s">
        <v>138</v>
      </c>
      <c r="D53" s="28"/>
      <c r="E53" s="28">
        <v>20161227</v>
      </c>
      <c r="F53" s="28"/>
      <c r="G53" s="29" t="s">
        <v>51</v>
      </c>
      <c r="H53" s="30" t="s">
        <v>74</v>
      </c>
      <c r="I53" s="28" t="s">
        <v>75</v>
      </c>
      <c r="J53" s="28" t="s">
        <v>54</v>
      </c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28">
        <f t="shared" si="0"/>
        <v>0</v>
      </c>
      <c r="AN53" s="28"/>
    </row>
    <row r="54" spans="1:40">
      <c r="A54" s="28">
        <v>52</v>
      </c>
      <c r="B54" s="29">
        <v>500570</v>
      </c>
      <c r="C54" s="28" t="s">
        <v>92</v>
      </c>
      <c r="D54" s="28"/>
      <c r="E54" s="28">
        <v>20170704</v>
      </c>
      <c r="F54" s="28"/>
      <c r="G54" s="29" t="s">
        <v>51</v>
      </c>
      <c r="H54" s="30" t="s">
        <v>74</v>
      </c>
      <c r="I54" s="28" t="s">
        <v>75</v>
      </c>
      <c r="J54" s="28" t="s">
        <v>54</v>
      </c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28">
        <f t="shared" si="0"/>
        <v>0</v>
      </c>
      <c r="AN54" s="28"/>
    </row>
    <row r="55" spans="1:40">
      <c r="A55" s="28">
        <v>53</v>
      </c>
      <c r="B55" s="29">
        <v>500629</v>
      </c>
      <c r="C55" s="28" t="s">
        <v>156</v>
      </c>
      <c r="D55" s="28"/>
      <c r="E55" s="28">
        <v>20170919</v>
      </c>
      <c r="F55" s="28"/>
      <c r="G55" s="29" t="s">
        <v>51</v>
      </c>
      <c r="H55" s="30" t="s">
        <v>74</v>
      </c>
      <c r="I55" s="28" t="s">
        <v>75</v>
      </c>
      <c r="J55" s="28" t="s">
        <v>58</v>
      </c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28">
        <f t="shared" si="0"/>
        <v>0</v>
      </c>
      <c r="AN55" s="28"/>
    </row>
    <row r="56" spans="1:40">
      <c r="A56" s="28">
        <v>54</v>
      </c>
      <c r="B56" s="29">
        <v>500683</v>
      </c>
      <c r="C56" s="28" t="s">
        <v>158</v>
      </c>
      <c r="D56" s="28"/>
      <c r="E56" s="28">
        <v>20180201</v>
      </c>
      <c r="F56" s="28"/>
      <c r="G56" s="29" t="s">
        <v>51</v>
      </c>
      <c r="H56" s="30" t="s">
        <v>74</v>
      </c>
      <c r="I56" s="28" t="s">
        <v>75</v>
      </c>
      <c r="J56" s="28" t="s">
        <v>58</v>
      </c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28">
        <f t="shared" si="0"/>
        <v>0</v>
      </c>
      <c r="AN56" s="28"/>
    </row>
    <row r="57" spans="1:40">
      <c r="A57" s="28">
        <v>55</v>
      </c>
      <c r="B57" s="29">
        <v>500699</v>
      </c>
      <c r="C57" s="28" t="s">
        <v>161</v>
      </c>
      <c r="D57" s="28"/>
      <c r="E57" s="28">
        <v>20180306</v>
      </c>
      <c r="F57" s="28"/>
      <c r="G57" s="29" t="s">
        <v>51</v>
      </c>
      <c r="H57" s="30" t="s">
        <v>74</v>
      </c>
      <c r="I57" s="28" t="s">
        <v>75</v>
      </c>
      <c r="J57" s="28" t="s">
        <v>54</v>
      </c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28">
        <f t="shared" si="0"/>
        <v>0</v>
      </c>
      <c r="AN57" s="28"/>
    </row>
    <row r="58" spans="1:40">
      <c r="A58" s="28">
        <v>56</v>
      </c>
      <c r="B58" s="29">
        <v>500995</v>
      </c>
      <c r="C58" s="28" t="s">
        <v>191</v>
      </c>
      <c r="D58" s="28"/>
      <c r="E58" s="28">
        <v>20200514</v>
      </c>
      <c r="F58" s="28"/>
      <c r="G58" s="29" t="s">
        <v>51</v>
      </c>
      <c r="H58" s="30" t="s">
        <v>74</v>
      </c>
      <c r="I58" s="28" t="s">
        <v>75</v>
      </c>
      <c r="J58" s="28" t="s">
        <v>58</v>
      </c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28">
        <f t="shared" si="0"/>
        <v>0</v>
      </c>
      <c r="AN58" s="28"/>
    </row>
    <row r="59" spans="1:40">
      <c r="A59" s="28">
        <v>57</v>
      </c>
      <c r="B59" s="29">
        <v>501036</v>
      </c>
      <c r="C59" s="28" t="s">
        <v>192</v>
      </c>
      <c r="D59" s="28"/>
      <c r="E59" s="28">
        <v>20210503</v>
      </c>
      <c r="F59" s="28"/>
      <c r="G59" s="29" t="s">
        <v>51</v>
      </c>
      <c r="H59" s="30" t="s">
        <v>74</v>
      </c>
      <c r="I59" s="28" t="s">
        <v>75</v>
      </c>
      <c r="J59" s="28" t="s">
        <v>54</v>
      </c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28">
        <f t="shared" si="0"/>
        <v>0</v>
      </c>
      <c r="AN59" s="28"/>
    </row>
    <row r="60" spans="1:40">
      <c r="A60" s="28">
        <v>58</v>
      </c>
      <c r="B60" s="29">
        <v>501081</v>
      </c>
      <c r="C60" s="28" t="s">
        <v>196</v>
      </c>
      <c r="D60" s="28"/>
      <c r="E60" s="28">
        <v>20211102</v>
      </c>
      <c r="F60" s="28"/>
      <c r="G60" s="29" t="s">
        <v>51</v>
      </c>
      <c r="H60" s="30" t="s">
        <v>74</v>
      </c>
      <c r="I60" s="28" t="s">
        <v>75</v>
      </c>
      <c r="J60" s="28" t="s">
        <v>54</v>
      </c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28">
        <f t="shared" si="0"/>
        <v>0</v>
      </c>
      <c r="AN60" s="28"/>
    </row>
    <row r="61" spans="1:40">
      <c r="A61" s="28">
        <v>59</v>
      </c>
      <c r="B61" s="29">
        <v>501167</v>
      </c>
      <c r="C61" s="28" t="s">
        <v>206</v>
      </c>
      <c r="D61" s="28"/>
      <c r="E61" s="28">
        <v>20221123</v>
      </c>
      <c r="F61" s="28"/>
      <c r="G61" s="29" t="s">
        <v>51</v>
      </c>
      <c r="H61" s="30" t="s">
        <v>74</v>
      </c>
      <c r="I61" s="28" t="s">
        <v>75</v>
      </c>
      <c r="J61" s="28" t="s">
        <v>58</v>
      </c>
      <c r="K61" s="47">
        <v>1</v>
      </c>
      <c r="L61" s="47">
        <v>1</v>
      </c>
      <c r="M61" s="47"/>
      <c r="N61" s="47">
        <v>1</v>
      </c>
      <c r="O61" s="47"/>
      <c r="P61" s="47">
        <v>1</v>
      </c>
      <c r="Q61" s="47">
        <v>1</v>
      </c>
      <c r="R61" s="47">
        <v>1</v>
      </c>
      <c r="S61" s="47">
        <v>1</v>
      </c>
      <c r="T61" s="47"/>
      <c r="U61" s="47">
        <v>1</v>
      </c>
      <c r="V61" s="47">
        <v>1</v>
      </c>
      <c r="W61" s="47">
        <v>1</v>
      </c>
      <c r="X61" s="47">
        <v>1</v>
      </c>
      <c r="Y61" s="47">
        <v>1</v>
      </c>
      <c r="Z61" s="47"/>
      <c r="AA61" s="47"/>
      <c r="AB61" s="47">
        <v>1</v>
      </c>
      <c r="AC61" s="47">
        <v>1</v>
      </c>
      <c r="AD61" s="47">
        <v>1</v>
      </c>
      <c r="AE61" s="47">
        <v>1</v>
      </c>
      <c r="AF61" s="47">
        <v>1</v>
      </c>
      <c r="AG61" s="47">
        <v>1</v>
      </c>
      <c r="AH61" s="47"/>
      <c r="AI61" s="47">
        <v>1</v>
      </c>
      <c r="AJ61" s="47">
        <v>1</v>
      </c>
      <c r="AK61" s="47">
        <v>1</v>
      </c>
      <c r="AL61" s="47">
        <v>1</v>
      </c>
      <c r="AM61" s="28">
        <f t="shared" si="0"/>
        <v>22</v>
      </c>
      <c r="AN61" s="28"/>
    </row>
    <row r="62" spans="1:40">
      <c r="A62" s="28">
        <v>60</v>
      </c>
      <c r="B62" s="29">
        <v>501177</v>
      </c>
      <c r="C62" s="28" t="s">
        <v>207</v>
      </c>
      <c r="D62" s="28"/>
      <c r="E62" s="28">
        <v>20230223</v>
      </c>
      <c r="F62" s="28"/>
      <c r="G62" s="29" t="s">
        <v>51</v>
      </c>
      <c r="H62" s="30" t="s">
        <v>74</v>
      </c>
      <c r="I62" s="28" t="s">
        <v>75</v>
      </c>
      <c r="J62" s="28" t="s">
        <v>58</v>
      </c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28">
        <f t="shared" si="0"/>
        <v>0</v>
      </c>
      <c r="AN62" s="28"/>
    </row>
    <row r="63" spans="1:40">
      <c r="A63" s="28">
        <v>61</v>
      </c>
      <c r="B63" s="29">
        <v>501192</v>
      </c>
      <c r="C63" s="28" t="s">
        <v>208</v>
      </c>
      <c r="D63" s="28"/>
      <c r="E63" s="28">
        <v>20230601</v>
      </c>
      <c r="F63" s="28"/>
      <c r="G63" s="29" t="s">
        <v>51</v>
      </c>
      <c r="H63" s="30" t="s">
        <v>74</v>
      </c>
      <c r="I63" s="28" t="s">
        <v>75</v>
      </c>
      <c r="J63" s="28" t="s">
        <v>54</v>
      </c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28">
        <f t="shared" si="0"/>
        <v>0</v>
      </c>
      <c r="AN63" s="28"/>
    </row>
    <row r="64" spans="1:40">
      <c r="A64" s="28">
        <v>62</v>
      </c>
      <c r="B64" s="29">
        <v>501217</v>
      </c>
      <c r="C64" s="28" t="s">
        <v>215</v>
      </c>
      <c r="D64" s="28"/>
      <c r="E64" s="28">
        <v>20240524</v>
      </c>
      <c r="F64" s="28"/>
      <c r="G64" s="29" t="s">
        <v>51</v>
      </c>
      <c r="H64" s="30" t="s">
        <v>74</v>
      </c>
      <c r="I64" s="28" t="s">
        <v>75</v>
      </c>
      <c r="J64" s="28" t="s">
        <v>58</v>
      </c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28">
        <f t="shared" si="0"/>
        <v>0</v>
      </c>
      <c r="AN64" s="28"/>
    </row>
    <row r="65" spans="1:40">
      <c r="A65" s="28">
        <v>63</v>
      </c>
      <c r="B65" s="29">
        <v>501250</v>
      </c>
      <c r="C65" s="28" t="s">
        <v>232</v>
      </c>
      <c r="D65" s="28"/>
      <c r="E65" s="28">
        <v>20241010</v>
      </c>
      <c r="F65" s="28"/>
      <c r="G65" s="29" t="s">
        <v>51</v>
      </c>
      <c r="H65" s="30" t="s">
        <v>74</v>
      </c>
      <c r="I65" s="28" t="s">
        <v>75</v>
      </c>
      <c r="J65" s="28" t="s">
        <v>58</v>
      </c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28">
        <f t="shared" si="0"/>
        <v>0</v>
      </c>
      <c r="AN65" s="28"/>
    </row>
    <row r="66" spans="1:40">
      <c r="A66" s="28">
        <v>64</v>
      </c>
      <c r="B66" s="29">
        <v>501256</v>
      </c>
      <c r="C66" s="28" t="s">
        <v>236</v>
      </c>
      <c r="D66" s="28"/>
      <c r="E66" s="28">
        <v>20241104</v>
      </c>
      <c r="F66" s="28"/>
      <c r="G66" s="29" t="s">
        <v>51</v>
      </c>
      <c r="H66" s="30" t="s">
        <v>74</v>
      </c>
      <c r="I66" s="28" t="s">
        <v>75</v>
      </c>
      <c r="J66" s="28" t="s">
        <v>58</v>
      </c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28">
        <f t="shared" si="0"/>
        <v>0</v>
      </c>
      <c r="AN66" s="28"/>
    </row>
    <row r="67" spans="1:40">
      <c r="A67" s="28">
        <v>65</v>
      </c>
      <c r="B67" s="29">
        <v>501265</v>
      </c>
      <c r="C67" s="28" t="s">
        <v>242</v>
      </c>
      <c r="D67" s="28"/>
      <c r="E67" s="28">
        <v>20250303</v>
      </c>
      <c r="F67" s="28"/>
      <c r="G67" s="29" t="s">
        <v>51</v>
      </c>
      <c r="H67" s="30" t="s">
        <v>74</v>
      </c>
      <c r="I67" s="28" t="s">
        <v>75</v>
      </c>
      <c r="J67" s="28" t="s">
        <v>58</v>
      </c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28">
        <f t="shared" ref="AM67:AM130" si="1">SUM(K67:AL67)</f>
        <v>0</v>
      </c>
      <c r="AN67" s="28"/>
    </row>
    <row r="68" spans="1:40">
      <c r="A68" s="28">
        <v>66</v>
      </c>
      <c r="B68" s="29">
        <v>501275</v>
      </c>
      <c r="C68" s="28" t="s">
        <v>248</v>
      </c>
      <c r="D68" s="28"/>
      <c r="E68" s="28">
        <v>20250429</v>
      </c>
      <c r="F68" s="28"/>
      <c r="G68" s="29" t="s">
        <v>51</v>
      </c>
      <c r="H68" s="30" t="s">
        <v>74</v>
      </c>
      <c r="I68" s="28" t="s">
        <v>75</v>
      </c>
      <c r="J68" s="28" t="s">
        <v>58</v>
      </c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28">
        <f t="shared" si="1"/>
        <v>0</v>
      </c>
      <c r="AN68" s="28"/>
    </row>
    <row r="69" spans="1:40">
      <c r="A69" s="28">
        <v>67</v>
      </c>
      <c r="B69" s="29">
        <v>501280</v>
      </c>
      <c r="C69" s="28" t="s">
        <v>252</v>
      </c>
      <c r="D69" s="28"/>
      <c r="E69" s="28">
        <v>20250506</v>
      </c>
      <c r="F69" s="28"/>
      <c r="G69" s="29" t="s">
        <v>51</v>
      </c>
      <c r="H69" s="30" t="s">
        <v>74</v>
      </c>
      <c r="I69" s="28" t="s">
        <v>75</v>
      </c>
      <c r="J69" s="28" t="s">
        <v>58</v>
      </c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28">
        <f t="shared" si="1"/>
        <v>0</v>
      </c>
      <c r="AN69" s="28"/>
    </row>
    <row r="70" spans="1:40">
      <c r="A70" s="28">
        <v>68</v>
      </c>
      <c r="B70" s="29">
        <v>501284</v>
      </c>
      <c r="C70" s="28" t="s">
        <v>255</v>
      </c>
      <c r="D70" s="28"/>
      <c r="E70" s="28">
        <v>20250522</v>
      </c>
      <c r="F70" s="28"/>
      <c r="G70" s="29" t="s">
        <v>51</v>
      </c>
      <c r="H70" s="30" t="s">
        <v>74</v>
      </c>
      <c r="I70" s="28" t="s">
        <v>75</v>
      </c>
      <c r="J70" s="28" t="s">
        <v>54</v>
      </c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28">
        <f t="shared" si="1"/>
        <v>0</v>
      </c>
      <c r="AN70" s="28"/>
    </row>
    <row r="71" spans="1:40">
      <c r="A71" s="28">
        <v>69</v>
      </c>
      <c r="B71" s="29">
        <v>501296</v>
      </c>
      <c r="C71" s="28" t="s">
        <v>259</v>
      </c>
      <c r="D71" s="28"/>
      <c r="E71" s="28">
        <v>20250901</v>
      </c>
      <c r="F71" s="28"/>
      <c r="G71" s="29" t="s">
        <v>51</v>
      </c>
      <c r="H71" s="30" t="s">
        <v>74</v>
      </c>
      <c r="I71" s="28" t="s">
        <v>75</v>
      </c>
      <c r="J71" s="28" t="s">
        <v>58</v>
      </c>
      <c r="K71" s="47"/>
      <c r="L71" s="47">
        <v>1</v>
      </c>
      <c r="M71" s="47">
        <v>1</v>
      </c>
      <c r="N71" s="47">
        <v>1</v>
      </c>
      <c r="O71" s="47">
        <v>1</v>
      </c>
      <c r="P71" s="47">
        <v>1</v>
      </c>
      <c r="Q71" s="47"/>
      <c r="R71" s="47"/>
      <c r="S71" s="47">
        <v>1</v>
      </c>
      <c r="T71" s="47">
        <v>1</v>
      </c>
      <c r="U71" s="47"/>
      <c r="V71" s="47"/>
      <c r="W71" s="47"/>
      <c r="X71" s="47">
        <v>1</v>
      </c>
      <c r="Y71" s="47"/>
      <c r="Z71" s="47"/>
      <c r="AA71" s="47">
        <v>1</v>
      </c>
      <c r="AB71" s="47">
        <v>1</v>
      </c>
      <c r="AC71" s="47">
        <v>1</v>
      </c>
      <c r="AD71" s="47">
        <v>1</v>
      </c>
      <c r="AE71" s="47">
        <v>1</v>
      </c>
      <c r="AF71" s="47"/>
      <c r="AG71" s="47">
        <v>1</v>
      </c>
      <c r="AH71" s="47">
        <v>1</v>
      </c>
      <c r="AI71" s="47">
        <v>1</v>
      </c>
      <c r="AJ71" s="47">
        <v>1</v>
      </c>
      <c r="AK71" s="47">
        <v>1</v>
      </c>
      <c r="AL71" s="47">
        <v>1</v>
      </c>
      <c r="AM71" s="28">
        <f t="shared" si="1"/>
        <v>19</v>
      </c>
      <c r="AN71" s="28"/>
    </row>
    <row r="72" spans="1:40">
      <c r="A72" s="28">
        <v>70</v>
      </c>
      <c r="B72" s="29">
        <v>501299</v>
      </c>
      <c r="C72" s="28" t="s">
        <v>262</v>
      </c>
      <c r="D72" s="28"/>
      <c r="E72" s="28">
        <v>20250916</v>
      </c>
      <c r="F72" s="28"/>
      <c r="G72" s="29" t="s">
        <v>51</v>
      </c>
      <c r="H72" s="30" t="s">
        <v>74</v>
      </c>
      <c r="I72" s="28" t="s">
        <v>75</v>
      </c>
      <c r="J72" s="28" t="s">
        <v>58</v>
      </c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28">
        <f t="shared" si="1"/>
        <v>0</v>
      </c>
      <c r="AN72" s="28"/>
    </row>
    <row r="73" spans="1:40">
      <c r="A73" s="28">
        <v>71</v>
      </c>
      <c r="B73" s="29">
        <v>501311</v>
      </c>
      <c r="C73" s="28" t="s">
        <v>273</v>
      </c>
      <c r="D73" s="28"/>
      <c r="E73" s="28">
        <v>20251117</v>
      </c>
      <c r="F73" s="28"/>
      <c r="G73" s="29" t="s">
        <v>51</v>
      </c>
      <c r="H73" s="30" t="s">
        <v>74</v>
      </c>
      <c r="I73" s="28" t="s">
        <v>75</v>
      </c>
      <c r="J73" s="28" t="s">
        <v>54</v>
      </c>
      <c r="K73" s="47"/>
      <c r="L73" s="47">
        <v>1</v>
      </c>
      <c r="M73" s="47">
        <v>1</v>
      </c>
      <c r="N73" s="47">
        <v>1</v>
      </c>
      <c r="O73" s="47">
        <v>1</v>
      </c>
      <c r="P73" s="47">
        <v>1</v>
      </c>
      <c r="Q73" s="47">
        <v>1</v>
      </c>
      <c r="R73" s="47"/>
      <c r="S73" s="47">
        <v>1</v>
      </c>
      <c r="T73" s="47">
        <v>1</v>
      </c>
      <c r="U73" s="47">
        <v>1</v>
      </c>
      <c r="V73" s="47">
        <v>1</v>
      </c>
      <c r="W73" s="47">
        <v>1</v>
      </c>
      <c r="X73" s="47">
        <v>1</v>
      </c>
      <c r="Y73" s="47"/>
      <c r="Z73" s="47">
        <v>1</v>
      </c>
      <c r="AA73" s="47">
        <v>1</v>
      </c>
      <c r="AB73" s="47">
        <v>1</v>
      </c>
      <c r="AC73" s="47">
        <v>1</v>
      </c>
      <c r="AD73" s="47">
        <v>1</v>
      </c>
      <c r="AE73" s="47">
        <v>1</v>
      </c>
      <c r="AF73" s="47"/>
      <c r="AG73" s="47">
        <v>1</v>
      </c>
      <c r="AH73" s="47">
        <v>1</v>
      </c>
      <c r="AI73" s="47">
        <v>1</v>
      </c>
      <c r="AJ73" s="47">
        <v>1</v>
      </c>
      <c r="AK73" s="47">
        <v>1</v>
      </c>
      <c r="AL73" s="47"/>
      <c r="AM73" s="28">
        <f t="shared" si="1"/>
        <v>23</v>
      </c>
      <c r="AN73" s="28"/>
    </row>
    <row r="74" spans="1:40">
      <c r="A74" s="28">
        <v>72</v>
      </c>
      <c r="B74" s="29">
        <v>501316</v>
      </c>
      <c r="C74" s="28" t="s">
        <v>87</v>
      </c>
      <c r="D74" s="28"/>
      <c r="E74" s="28">
        <v>20260226</v>
      </c>
      <c r="F74" s="28"/>
      <c r="G74" s="29" t="s">
        <v>51</v>
      </c>
      <c r="H74" s="30" t="s">
        <v>74</v>
      </c>
      <c r="I74" s="28" t="s">
        <v>75</v>
      </c>
      <c r="J74" s="28" t="s">
        <v>58</v>
      </c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>
        <f t="shared" si="1"/>
        <v>0</v>
      </c>
      <c r="AN74" s="28"/>
    </row>
    <row r="75" spans="1:40">
      <c r="A75" s="28">
        <v>73</v>
      </c>
      <c r="B75" s="29">
        <v>501317</v>
      </c>
      <c r="C75" s="28" t="s">
        <v>431</v>
      </c>
      <c r="D75" s="28"/>
      <c r="E75" s="28">
        <v>20260226</v>
      </c>
      <c r="F75" s="28"/>
      <c r="G75" s="29" t="s">
        <v>51</v>
      </c>
      <c r="H75" s="30" t="s">
        <v>74</v>
      </c>
      <c r="I75" s="28" t="s">
        <v>75</v>
      </c>
      <c r="J75" s="28" t="s">
        <v>58</v>
      </c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>
        <f t="shared" si="1"/>
        <v>0</v>
      </c>
      <c r="AN75" s="28"/>
    </row>
    <row r="76" spans="1:40">
      <c r="A76" s="28">
        <v>74</v>
      </c>
      <c r="B76" s="29">
        <v>500005</v>
      </c>
      <c r="C76" s="28" t="s">
        <v>60</v>
      </c>
      <c r="D76" s="28"/>
      <c r="E76" s="28">
        <v>20140707</v>
      </c>
      <c r="F76" s="28"/>
      <c r="G76" s="29" t="s">
        <v>51</v>
      </c>
      <c r="H76" s="30" t="s">
        <v>61</v>
      </c>
      <c r="I76" s="28" t="s">
        <v>62</v>
      </c>
      <c r="J76" s="28" t="s">
        <v>54</v>
      </c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28">
        <f t="shared" si="1"/>
        <v>0</v>
      </c>
      <c r="AN76" s="28"/>
    </row>
    <row r="77" spans="1:40">
      <c r="A77" s="28">
        <v>75</v>
      </c>
      <c r="B77" s="29">
        <v>500009</v>
      </c>
      <c r="C77" s="28" t="s">
        <v>63</v>
      </c>
      <c r="D77" s="28"/>
      <c r="E77" s="28">
        <v>20140822</v>
      </c>
      <c r="F77" s="28"/>
      <c r="G77" s="29" t="s">
        <v>51</v>
      </c>
      <c r="H77" s="30" t="s">
        <v>61</v>
      </c>
      <c r="I77" s="28" t="s">
        <v>62</v>
      </c>
      <c r="J77" s="28" t="s">
        <v>54</v>
      </c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28">
        <f t="shared" si="1"/>
        <v>0</v>
      </c>
      <c r="AN77" s="28"/>
    </row>
    <row r="78" spans="1:40">
      <c r="A78" s="28">
        <v>76</v>
      </c>
      <c r="B78" s="29">
        <v>500051</v>
      </c>
      <c r="C78" s="28" t="s">
        <v>76</v>
      </c>
      <c r="D78" s="28"/>
      <c r="E78" s="28">
        <v>20150504</v>
      </c>
      <c r="F78" s="28"/>
      <c r="G78" s="29" t="s">
        <v>51</v>
      </c>
      <c r="H78" s="30" t="s">
        <v>61</v>
      </c>
      <c r="I78" s="28" t="s">
        <v>62</v>
      </c>
      <c r="J78" s="28" t="s">
        <v>58</v>
      </c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28">
        <f t="shared" si="1"/>
        <v>0</v>
      </c>
      <c r="AN78" s="28"/>
    </row>
    <row r="79" spans="1:40">
      <c r="A79" s="28">
        <v>77</v>
      </c>
      <c r="B79" s="29">
        <v>500052</v>
      </c>
      <c r="C79" s="28" t="s">
        <v>77</v>
      </c>
      <c r="D79" s="28"/>
      <c r="E79" s="28">
        <v>20150507</v>
      </c>
      <c r="F79" s="28"/>
      <c r="G79" s="29" t="s">
        <v>51</v>
      </c>
      <c r="H79" s="30" t="s">
        <v>61</v>
      </c>
      <c r="I79" s="28" t="s">
        <v>62</v>
      </c>
      <c r="J79" s="28" t="s">
        <v>54</v>
      </c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28">
        <f t="shared" si="1"/>
        <v>0</v>
      </c>
      <c r="AN79" s="28"/>
    </row>
    <row r="80" spans="1:40">
      <c r="A80" s="28">
        <v>78</v>
      </c>
      <c r="B80" s="29">
        <v>500104</v>
      </c>
      <c r="C80" s="28" t="s">
        <v>83</v>
      </c>
      <c r="D80" s="28"/>
      <c r="E80" s="28">
        <v>20150713</v>
      </c>
      <c r="F80" s="28"/>
      <c r="G80" s="29" t="s">
        <v>51</v>
      </c>
      <c r="H80" s="30" t="s">
        <v>61</v>
      </c>
      <c r="I80" s="28" t="s">
        <v>62</v>
      </c>
      <c r="J80" s="28" t="s">
        <v>54</v>
      </c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28">
        <f t="shared" si="1"/>
        <v>0</v>
      </c>
      <c r="AN80" s="28"/>
    </row>
    <row r="81" spans="1:40">
      <c r="A81" s="28">
        <v>79</v>
      </c>
      <c r="B81" s="29">
        <v>500122</v>
      </c>
      <c r="C81" s="28" t="s">
        <v>86</v>
      </c>
      <c r="D81" s="28"/>
      <c r="E81" s="28">
        <v>20150727</v>
      </c>
      <c r="F81" s="28"/>
      <c r="G81" s="29" t="s">
        <v>51</v>
      </c>
      <c r="H81" s="30" t="s">
        <v>61</v>
      </c>
      <c r="I81" s="28" t="s">
        <v>62</v>
      </c>
      <c r="J81" s="28" t="s">
        <v>54</v>
      </c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28">
        <f t="shared" si="1"/>
        <v>0</v>
      </c>
      <c r="AN81" s="28"/>
    </row>
    <row r="82" spans="1:40">
      <c r="A82" s="28">
        <v>80</v>
      </c>
      <c r="B82" s="29">
        <v>500191</v>
      </c>
      <c r="C82" s="28" t="s">
        <v>92</v>
      </c>
      <c r="D82" s="28"/>
      <c r="E82" s="28">
        <v>20151105</v>
      </c>
      <c r="F82" s="28"/>
      <c r="G82" s="29" t="s">
        <v>51</v>
      </c>
      <c r="H82" s="30" t="s">
        <v>61</v>
      </c>
      <c r="I82" s="28" t="s">
        <v>62</v>
      </c>
      <c r="J82" s="28" t="s">
        <v>54</v>
      </c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28">
        <f t="shared" si="1"/>
        <v>0</v>
      </c>
      <c r="AN82" s="28"/>
    </row>
    <row r="83" spans="1:40">
      <c r="A83" s="28">
        <v>81</v>
      </c>
      <c r="B83" s="29">
        <v>500216</v>
      </c>
      <c r="C83" s="28" t="s">
        <v>99</v>
      </c>
      <c r="D83" s="28"/>
      <c r="E83" s="28">
        <v>20151203</v>
      </c>
      <c r="F83" s="28"/>
      <c r="G83" s="29" t="s">
        <v>51</v>
      </c>
      <c r="H83" s="30" t="s">
        <v>61</v>
      </c>
      <c r="I83" s="28" t="s">
        <v>62</v>
      </c>
      <c r="J83" s="28" t="s">
        <v>54</v>
      </c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28">
        <f t="shared" si="1"/>
        <v>0</v>
      </c>
      <c r="AN83" s="28"/>
    </row>
    <row r="84" spans="1:40">
      <c r="A84" s="28">
        <v>82</v>
      </c>
      <c r="B84" s="29">
        <v>500228</v>
      </c>
      <c r="C84" s="28" t="s">
        <v>101</v>
      </c>
      <c r="D84" s="28"/>
      <c r="E84" s="28">
        <v>20151215</v>
      </c>
      <c r="F84" s="28"/>
      <c r="G84" s="29" t="s">
        <v>51</v>
      </c>
      <c r="H84" s="30" t="s">
        <v>61</v>
      </c>
      <c r="I84" s="28" t="s">
        <v>62</v>
      </c>
      <c r="J84" s="28" t="s">
        <v>54</v>
      </c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28">
        <f t="shared" si="1"/>
        <v>0</v>
      </c>
      <c r="AN84" s="28"/>
    </row>
    <row r="85" spans="1:40">
      <c r="A85" s="28">
        <v>83</v>
      </c>
      <c r="B85" s="29">
        <v>500343</v>
      </c>
      <c r="C85" s="28" t="s">
        <v>119</v>
      </c>
      <c r="D85" s="28"/>
      <c r="E85" s="28">
        <v>20160705</v>
      </c>
      <c r="F85" s="28"/>
      <c r="G85" s="29" t="s">
        <v>51</v>
      </c>
      <c r="H85" s="30" t="s">
        <v>61</v>
      </c>
      <c r="I85" s="28" t="s">
        <v>62</v>
      </c>
      <c r="J85" s="28" t="s">
        <v>54</v>
      </c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28">
        <f t="shared" si="1"/>
        <v>0</v>
      </c>
      <c r="AN85" s="28"/>
    </row>
    <row r="86" spans="1:40">
      <c r="A86" s="28">
        <v>84</v>
      </c>
      <c r="B86" s="29">
        <v>500377</v>
      </c>
      <c r="C86" s="28" t="s">
        <v>126</v>
      </c>
      <c r="D86" s="28"/>
      <c r="E86" s="28">
        <v>20160920</v>
      </c>
      <c r="F86" s="28"/>
      <c r="G86" s="29" t="s">
        <v>51</v>
      </c>
      <c r="H86" s="30" t="s">
        <v>61</v>
      </c>
      <c r="I86" s="28" t="s">
        <v>62</v>
      </c>
      <c r="J86" s="28" t="s">
        <v>54</v>
      </c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28">
        <f t="shared" si="1"/>
        <v>0</v>
      </c>
      <c r="AN86" s="28"/>
    </row>
    <row r="87" spans="1:40">
      <c r="A87" s="28">
        <v>85</v>
      </c>
      <c r="B87" s="29">
        <v>500404</v>
      </c>
      <c r="C87" s="28" t="s">
        <v>134</v>
      </c>
      <c r="D87" s="28"/>
      <c r="E87" s="28">
        <v>20161019</v>
      </c>
      <c r="F87" s="28"/>
      <c r="G87" s="29" t="s">
        <v>51</v>
      </c>
      <c r="H87" s="30" t="s">
        <v>61</v>
      </c>
      <c r="I87" s="28" t="s">
        <v>62</v>
      </c>
      <c r="J87" s="28" t="s">
        <v>54</v>
      </c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28">
        <f t="shared" si="1"/>
        <v>0</v>
      </c>
      <c r="AN87" s="28"/>
    </row>
    <row r="88" spans="1:40">
      <c r="A88" s="28">
        <v>86</v>
      </c>
      <c r="B88" s="29">
        <v>500432</v>
      </c>
      <c r="C88" s="28" t="s">
        <v>137</v>
      </c>
      <c r="D88" s="28"/>
      <c r="E88" s="28">
        <v>20161208</v>
      </c>
      <c r="F88" s="28"/>
      <c r="G88" s="29" t="s">
        <v>51</v>
      </c>
      <c r="H88" s="30" t="s">
        <v>61</v>
      </c>
      <c r="I88" s="28" t="s">
        <v>62</v>
      </c>
      <c r="J88" s="28" t="s">
        <v>54</v>
      </c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28">
        <f t="shared" si="1"/>
        <v>0</v>
      </c>
      <c r="AN88" s="28"/>
    </row>
    <row r="89" spans="1:40">
      <c r="A89" s="28">
        <v>87</v>
      </c>
      <c r="B89" s="29">
        <v>500444</v>
      </c>
      <c r="C89" s="28" t="s">
        <v>140</v>
      </c>
      <c r="D89" s="28"/>
      <c r="E89" s="28">
        <v>20170105</v>
      </c>
      <c r="F89" s="28"/>
      <c r="G89" s="29" t="s">
        <v>51</v>
      </c>
      <c r="H89" s="30" t="s">
        <v>61</v>
      </c>
      <c r="I89" s="28" t="s">
        <v>62</v>
      </c>
      <c r="J89" s="28" t="s">
        <v>54</v>
      </c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28">
        <f t="shared" si="1"/>
        <v>0</v>
      </c>
      <c r="AN89" s="28"/>
    </row>
    <row r="90" spans="1:40">
      <c r="A90" s="28">
        <v>88</v>
      </c>
      <c r="B90" s="29">
        <v>500451</v>
      </c>
      <c r="C90" s="28" t="s">
        <v>141</v>
      </c>
      <c r="D90" s="28"/>
      <c r="E90" s="28">
        <v>20170110</v>
      </c>
      <c r="F90" s="28"/>
      <c r="G90" s="29" t="s">
        <v>51</v>
      </c>
      <c r="H90" s="30" t="s">
        <v>61</v>
      </c>
      <c r="I90" s="28" t="s">
        <v>62</v>
      </c>
      <c r="J90" s="28" t="s">
        <v>54</v>
      </c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28">
        <f t="shared" si="1"/>
        <v>0</v>
      </c>
      <c r="AN90" s="28"/>
    </row>
    <row r="91" spans="1:40">
      <c r="A91" s="28">
        <v>89</v>
      </c>
      <c r="B91" s="29">
        <v>500514</v>
      </c>
      <c r="C91" s="28" t="s">
        <v>148</v>
      </c>
      <c r="D91" s="28"/>
      <c r="E91" s="28">
        <v>20170321</v>
      </c>
      <c r="F91" s="28"/>
      <c r="G91" s="29" t="s">
        <v>51</v>
      </c>
      <c r="H91" s="30" t="s">
        <v>61</v>
      </c>
      <c r="I91" s="28" t="s">
        <v>62</v>
      </c>
      <c r="J91" s="28" t="s">
        <v>54</v>
      </c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28">
        <f t="shared" si="1"/>
        <v>0</v>
      </c>
      <c r="AN91" s="28"/>
    </row>
    <row r="92" spans="1:40">
      <c r="A92" s="28">
        <v>90</v>
      </c>
      <c r="B92" s="29">
        <v>500580</v>
      </c>
      <c r="C92" s="28" t="s">
        <v>153</v>
      </c>
      <c r="D92" s="28"/>
      <c r="E92" s="28">
        <v>20170725</v>
      </c>
      <c r="F92" s="28"/>
      <c r="G92" s="29" t="s">
        <v>51</v>
      </c>
      <c r="H92" s="30" t="s">
        <v>61</v>
      </c>
      <c r="I92" s="28" t="s">
        <v>62</v>
      </c>
      <c r="J92" s="28" t="s">
        <v>58</v>
      </c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28">
        <f t="shared" si="1"/>
        <v>0</v>
      </c>
      <c r="AN92" s="28"/>
    </row>
    <row r="93" spans="1:40">
      <c r="A93" s="28">
        <v>91</v>
      </c>
      <c r="B93" s="29">
        <v>500717</v>
      </c>
      <c r="C93" s="28" t="s">
        <v>110</v>
      </c>
      <c r="D93" s="28"/>
      <c r="E93" s="28">
        <v>20180328</v>
      </c>
      <c r="F93" s="28"/>
      <c r="G93" s="29" t="s">
        <v>51</v>
      </c>
      <c r="H93" s="30" t="s">
        <v>61</v>
      </c>
      <c r="I93" s="28" t="s">
        <v>62</v>
      </c>
      <c r="J93" s="28" t="s">
        <v>54</v>
      </c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28">
        <f t="shared" si="1"/>
        <v>0</v>
      </c>
      <c r="AN93" s="28"/>
    </row>
    <row r="94" spans="1:40">
      <c r="A94" s="28">
        <v>92</v>
      </c>
      <c r="B94" s="29">
        <v>500831</v>
      </c>
      <c r="C94" s="28" t="s">
        <v>175</v>
      </c>
      <c r="D94" s="28"/>
      <c r="E94" s="28">
        <v>20190108</v>
      </c>
      <c r="F94" s="28"/>
      <c r="G94" s="29" t="s">
        <v>51</v>
      </c>
      <c r="H94" s="30" t="s">
        <v>61</v>
      </c>
      <c r="I94" s="28" t="s">
        <v>62</v>
      </c>
      <c r="J94" s="28" t="s">
        <v>58</v>
      </c>
      <c r="K94" s="47"/>
      <c r="L94" s="47">
        <v>1</v>
      </c>
      <c r="M94" s="47">
        <v>1</v>
      </c>
      <c r="N94" s="47">
        <v>1</v>
      </c>
      <c r="O94" s="47">
        <v>1</v>
      </c>
      <c r="P94" s="47">
        <v>1</v>
      </c>
      <c r="Q94" s="47">
        <v>1</v>
      </c>
      <c r="R94" s="47"/>
      <c r="S94" s="47">
        <v>1</v>
      </c>
      <c r="T94" s="47">
        <v>1</v>
      </c>
      <c r="U94" s="47">
        <v>1</v>
      </c>
      <c r="V94" s="47"/>
      <c r="W94" s="47"/>
      <c r="X94" s="47">
        <v>1</v>
      </c>
      <c r="Y94" s="47"/>
      <c r="Z94" s="47"/>
      <c r="AA94" s="47"/>
      <c r="AB94" s="47">
        <v>1</v>
      </c>
      <c r="AC94" s="47">
        <v>1</v>
      </c>
      <c r="AD94" s="47">
        <v>1</v>
      </c>
      <c r="AE94" s="47">
        <v>1</v>
      </c>
      <c r="AF94" s="47"/>
      <c r="AG94" s="47">
        <v>1</v>
      </c>
      <c r="AH94" s="47">
        <v>1</v>
      </c>
      <c r="AI94" s="47">
        <v>1</v>
      </c>
      <c r="AJ94" s="47">
        <v>1</v>
      </c>
      <c r="AK94" s="47">
        <v>1</v>
      </c>
      <c r="AL94" s="47">
        <v>1</v>
      </c>
      <c r="AM94" s="28">
        <f t="shared" si="1"/>
        <v>20</v>
      </c>
      <c r="AN94" s="28"/>
    </row>
    <row r="95" spans="1:40">
      <c r="A95" s="28">
        <v>93</v>
      </c>
      <c r="B95" s="29">
        <v>500840</v>
      </c>
      <c r="C95" s="28" t="s">
        <v>176</v>
      </c>
      <c r="D95" s="28"/>
      <c r="E95" s="28">
        <v>20190205</v>
      </c>
      <c r="F95" s="28"/>
      <c r="G95" s="29" t="s">
        <v>51</v>
      </c>
      <c r="H95" s="30" t="s">
        <v>61</v>
      </c>
      <c r="I95" s="28" t="s">
        <v>62</v>
      </c>
      <c r="J95" s="28" t="s">
        <v>58</v>
      </c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28">
        <f t="shared" si="1"/>
        <v>0</v>
      </c>
      <c r="AN95" s="28"/>
    </row>
    <row r="96" spans="1:40">
      <c r="A96" s="28">
        <v>94</v>
      </c>
      <c r="B96" s="29">
        <v>500845</v>
      </c>
      <c r="C96" s="28" t="s">
        <v>178</v>
      </c>
      <c r="D96" s="28"/>
      <c r="E96" s="28">
        <v>20190221</v>
      </c>
      <c r="F96" s="28"/>
      <c r="G96" s="29" t="s">
        <v>51</v>
      </c>
      <c r="H96" s="30" t="s">
        <v>61</v>
      </c>
      <c r="I96" s="28" t="s">
        <v>62</v>
      </c>
      <c r="J96" s="28" t="s">
        <v>54</v>
      </c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28">
        <f t="shared" si="1"/>
        <v>0</v>
      </c>
      <c r="AN96" s="28"/>
    </row>
    <row r="97" spans="1:40">
      <c r="A97" s="28">
        <v>95</v>
      </c>
      <c r="B97" s="29">
        <v>500922</v>
      </c>
      <c r="C97" s="28" t="s">
        <v>179</v>
      </c>
      <c r="D97" s="28"/>
      <c r="E97" s="28">
        <v>20191001</v>
      </c>
      <c r="F97" s="28"/>
      <c r="G97" s="29" t="s">
        <v>51</v>
      </c>
      <c r="H97" s="30" t="s">
        <v>61</v>
      </c>
      <c r="I97" s="28" t="s">
        <v>62</v>
      </c>
      <c r="J97" s="28" t="s">
        <v>58</v>
      </c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28">
        <f t="shared" si="1"/>
        <v>0</v>
      </c>
      <c r="AN97" s="28"/>
    </row>
    <row r="98" spans="1:40">
      <c r="A98" s="28">
        <v>96</v>
      </c>
      <c r="B98" s="29">
        <v>500924</v>
      </c>
      <c r="C98" s="28" t="s">
        <v>180</v>
      </c>
      <c r="D98" s="28"/>
      <c r="E98" s="28">
        <v>20191022</v>
      </c>
      <c r="F98" s="28"/>
      <c r="G98" s="29" t="s">
        <v>51</v>
      </c>
      <c r="H98" s="30" t="s">
        <v>61</v>
      </c>
      <c r="I98" s="28" t="s">
        <v>62</v>
      </c>
      <c r="J98" s="28" t="s">
        <v>54</v>
      </c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28">
        <f t="shared" si="1"/>
        <v>0</v>
      </c>
      <c r="AN98" s="28"/>
    </row>
    <row r="99" spans="1:40">
      <c r="A99" s="28">
        <v>97</v>
      </c>
      <c r="B99" s="29">
        <v>500927</v>
      </c>
      <c r="C99" s="28" t="s">
        <v>182</v>
      </c>
      <c r="D99" s="28"/>
      <c r="E99" s="28">
        <v>20191029</v>
      </c>
      <c r="F99" s="28"/>
      <c r="G99" s="29" t="s">
        <v>51</v>
      </c>
      <c r="H99" s="30" t="s">
        <v>61</v>
      </c>
      <c r="I99" s="28" t="s">
        <v>62</v>
      </c>
      <c r="J99" s="28" t="s">
        <v>54</v>
      </c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28">
        <f t="shared" si="1"/>
        <v>0</v>
      </c>
      <c r="AN99" s="28"/>
    </row>
    <row r="100" spans="1:40">
      <c r="A100" s="28">
        <v>98</v>
      </c>
      <c r="B100" s="29">
        <v>500928</v>
      </c>
      <c r="C100" s="28" t="s">
        <v>183</v>
      </c>
      <c r="D100" s="28"/>
      <c r="E100" s="28">
        <v>20191029</v>
      </c>
      <c r="F100" s="28"/>
      <c r="G100" s="29" t="s">
        <v>51</v>
      </c>
      <c r="H100" s="30" t="s">
        <v>61</v>
      </c>
      <c r="I100" s="28" t="s">
        <v>62</v>
      </c>
      <c r="J100" s="28" t="s">
        <v>54</v>
      </c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28">
        <f t="shared" si="1"/>
        <v>0</v>
      </c>
      <c r="AN100" s="28"/>
    </row>
    <row r="101" spans="1:40">
      <c r="A101" s="28">
        <v>99</v>
      </c>
      <c r="B101" s="29">
        <v>500930</v>
      </c>
      <c r="C101" s="28" t="s">
        <v>184</v>
      </c>
      <c r="D101" s="28"/>
      <c r="E101" s="28">
        <v>20191029</v>
      </c>
      <c r="F101" s="28"/>
      <c r="G101" s="29" t="s">
        <v>51</v>
      </c>
      <c r="H101" s="30" t="s">
        <v>61</v>
      </c>
      <c r="I101" s="28" t="s">
        <v>62</v>
      </c>
      <c r="J101" s="28" t="s">
        <v>58</v>
      </c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28">
        <f t="shared" si="1"/>
        <v>0</v>
      </c>
      <c r="AN101" s="28"/>
    </row>
    <row r="102" spans="1:40">
      <c r="A102" s="28">
        <v>100</v>
      </c>
      <c r="B102" s="29">
        <v>500944</v>
      </c>
      <c r="C102" s="28" t="s">
        <v>186</v>
      </c>
      <c r="D102" s="28"/>
      <c r="E102" s="28">
        <v>20191119</v>
      </c>
      <c r="F102" s="28"/>
      <c r="G102" s="29" t="s">
        <v>51</v>
      </c>
      <c r="H102" s="30" t="s">
        <v>61</v>
      </c>
      <c r="I102" s="28" t="s">
        <v>62</v>
      </c>
      <c r="J102" s="28" t="s">
        <v>54</v>
      </c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28">
        <f t="shared" si="1"/>
        <v>0</v>
      </c>
      <c r="AN102" s="28"/>
    </row>
    <row r="103" spans="1:40">
      <c r="A103" s="28">
        <v>101</v>
      </c>
      <c r="B103" s="29">
        <v>500952</v>
      </c>
      <c r="C103" s="28" t="s">
        <v>187</v>
      </c>
      <c r="D103" s="28"/>
      <c r="E103" s="28">
        <v>20191203</v>
      </c>
      <c r="F103" s="28"/>
      <c r="G103" s="29" t="s">
        <v>51</v>
      </c>
      <c r="H103" s="30" t="s">
        <v>61</v>
      </c>
      <c r="I103" s="28" t="s">
        <v>62</v>
      </c>
      <c r="J103" s="28" t="s">
        <v>58</v>
      </c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28">
        <f t="shared" si="1"/>
        <v>0</v>
      </c>
      <c r="AN103" s="28"/>
    </row>
    <row r="104" spans="1:40">
      <c r="A104" s="28">
        <v>102</v>
      </c>
      <c r="B104" s="29">
        <v>500959</v>
      </c>
      <c r="C104" s="28" t="s">
        <v>188</v>
      </c>
      <c r="D104" s="28"/>
      <c r="E104" s="28">
        <v>20200114</v>
      </c>
      <c r="F104" s="28"/>
      <c r="G104" s="29" t="s">
        <v>51</v>
      </c>
      <c r="H104" s="30" t="s">
        <v>61</v>
      </c>
      <c r="I104" s="28" t="s">
        <v>62</v>
      </c>
      <c r="J104" s="28" t="s">
        <v>54</v>
      </c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28">
        <f t="shared" si="1"/>
        <v>0</v>
      </c>
      <c r="AN104" s="28"/>
    </row>
    <row r="105" spans="1:40">
      <c r="A105" s="28">
        <v>103</v>
      </c>
      <c r="B105" s="29">
        <v>501042</v>
      </c>
      <c r="C105" s="28" t="s">
        <v>193</v>
      </c>
      <c r="D105" s="28"/>
      <c r="E105" s="28">
        <v>20210601</v>
      </c>
      <c r="F105" s="28"/>
      <c r="G105" s="29" t="s">
        <v>51</v>
      </c>
      <c r="H105" s="30" t="s">
        <v>61</v>
      </c>
      <c r="I105" s="28" t="s">
        <v>62</v>
      </c>
      <c r="J105" s="28" t="s">
        <v>58</v>
      </c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28">
        <f t="shared" si="1"/>
        <v>0</v>
      </c>
      <c r="AN105" s="28"/>
    </row>
    <row r="106" spans="1:40">
      <c r="A106" s="28">
        <v>104</v>
      </c>
      <c r="B106" s="29">
        <v>501099</v>
      </c>
      <c r="C106" s="28" t="s">
        <v>200</v>
      </c>
      <c r="D106" s="28"/>
      <c r="E106" s="28">
        <v>20211209</v>
      </c>
      <c r="F106" s="28"/>
      <c r="G106" s="29" t="s">
        <v>51</v>
      </c>
      <c r="H106" s="30" t="s">
        <v>61</v>
      </c>
      <c r="I106" s="28" t="s">
        <v>62</v>
      </c>
      <c r="J106" s="28" t="s">
        <v>58</v>
      </c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28">
        <f t="shared" si="1"/>
        <v>0</v>
      </c>
      <c r="AN106" s="28"/>
    </row>
    <row r="107" spans="1:40">
      <c r="A107" s="28">
        <v>105</v>
      </c>
      <c r="B107" s="29">
        <v>501112</v>
      </c>
      <c r="C107" s="28" t="s">
        <v>202</v>
      </c>
      <c r="D107" s="28"/>
      <c r="E107" s="28">
        <v>20220421</v>
      </c>
      <c r="F107" s="28"/>
      <c r="G107" s="29" t="s">
        <v>51</v>
      </c>
      <c r="H107" s="30" t="s">
        <v>61</v>
      </c>
      <c r="I107" s="28" t="s">
        <v>62</v>
      </c>
      <c r="J107" s="28" t="s">
        <v>54</v>
      </c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28">
        <f t="shared" si="1"/>
        <v>0</v>
      </c>
      <c r="AN107" s="28"/>
    </row>
    <row r="108" spans="1:40">
      <c r="A108" s="28">
        <v>106</v>
      </c>
      <c r="B108" s="29">
        <v>501114</v>
      </c>
      <c r="C108" s="28" t="s">
        <v>203</v>
      </c>
      <c r="D108" s="28"/>
      <c r="E108" s="28">
        <v>20220510</v>
      </c>
      <c r="F108" s="28"/>
      <c r="G108" s="29" t="s">
        <v>51</v>
      </c>
      <c r="H108" s="30" t="s">
        <v>61</v>
      </c>
      <c r="I108" s="28" t="s">
        <v>62</v>
      </c>
      <c r="J108" s="28" t="s">
        <v>54</v>
      </c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28">
        <f t="shared" si="1"/>
        <v>0</v>
      </c>
      <c r="AN108" s="28"/>
    </row>
    <row r="109" spans="1:40">
      <c r="A109" s="28">
        <v>107</v>
      </c>
      <c r="B109" s="29">
        <v>501235</v>
      </c>
      <c r="C109" s="28" t="s">
        <v>222</v>
      </c>
      <c r="D109" s="28"/>
      <c r="E109" s="28">
        <v>20240718</v>
      </c>
      <c r="F109" s="28"/>
      <c r="G109" s="29" t="s">
        <v>51</v>
      </c>
      <c r="H109" s="30" t="s">
        <v>61</v>
      </c>
      <c r="I109" s="28" t="s">
        <v>62</v>
      </c>
      <c r="J109" s="28" t="s">
        <v>58</v>
      </c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28">
        <f t="shared" si="1"/>
        <v>0</v>
      </c>
      <c r="AN109" s="28"/>
    </row>
    <row r="110" spans="1:40">
      <c r="A110" s="28">
        <v>108</v>
      </c>
      <c r="B110" s="29">
        <v>501271</v>
      </c>
      <c r="C110" s="28" t="s">
        <v>245</v>
      </c>
      <c r="D110" s="28"/>
      <c r="E110" s="28">
        <v>20250328</v>
      </c>
      <c r="F110" s="28"/>
      <c r="G110" s="29" t="s">
        <v>51</v>
      </c>
      <c r="H110" s="30" t="s">
        <v>61</v>
      </c>
      <c r="I110" s="28" t="s">
        <v>62</v>
      </c>
      <c r="J110" s="28" t="s">
        <v>58</v>
      </c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28">
        <f t="shared" si="1"/>
        <v>0</v>
      </c>
      <c r="AN110" s="28"/>
    </row>
    <row r="111" spans="1:40">
      <c r="A111" s="28">
        <v>109</v>
      </c>
      <c r="B111" s="29">
        <v>501279</v>
      </c>
      <c r="C111" s="28" t="s">
        <v>251</v>
      </c>
      <c r="D111" s="28"/>
      <c r="E111" s="28">
        <v>20250506</v>
      </c>
      <c r="F111" s="28"/>
      <c r="G111" s="29" t="s">
        <v>51</v>
      </c>
      <c r="H111" s="30" t="s">
        <v>61</v>
      </c>
      <c r="I111" s="28" t="s">
        <v>62</v>
      </c>
      <c r="J111" s="28" t="s">
        <v>58</v>
      </c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28">
        <f t="shared" si="1"/>
        <v>0</v>
      </c>
      <c r="AN111" s="28"/>
    </row>
    <row r="112" spans="1:40">
      <c r="A112" s="28">
        <v>110</v>
      </c>
      <c r="B112" s="29">
        <v>501285</v>
      </c>
      <c r="C112" s="28" t="s">
        <v>256</v>
      </c>
      <c r="D112" s="28"/>
      <c r="E112" s="28">
        <v>20250529</v>
      </c>
      <c r="F112" s="28"/>
      <c r="G112" s="29" t="s">
        <v>51</v>
      </c>
      <c r="H112" s="30" t="s">
        <v>61</v>
      </c>
      <c r="I112" s="28" t="s">
        <v>62</v>
      </c>
      <c r="J112" s="28" t="s">
        <v>54</v>
      </c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28">
        <f t="shared" si="1"/>
        <v>0</v>
      </c>
      <c r="AN112" s="28"/>
    </row>
    <row r="113" spans="1:40">
      <c r="A113" s="28">
        <v>111</v>
      </c>
      <c r="B113" s="29">
        <v>501292</v>
      </c>
      <c r="C113" s="28" t="s">
        <v>258</v>
      </c>
      <c r="D113" s="28"/>
      <c r="E113" s="28">
        <v>20250624</v>
      </c>
      <c r="F113" s="28"/>
      <c r="G113" s="29" t="s">
        <v>51</v>
      </c>
      <c r="H113" s="30" t="s">
        <v>61</v>
      </c>
      <c r="I113" s="28" t="s">
        <v>62</v>
      </c>
      <c r="J113" s="28" t="s">
        <v>58</v>
      </c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28">
        <f t="shared" si="1"/>
        <v>0</v>
      </c>
      <c r="AN113" s="28"/>
    </row>
    <row r="114" spans="1:40">
      <c r="A114" s="28">
        <v>112</v>
      </c>
      <c r="B114" s="29">
        <v>501300</v>
      </c>
      <c r="C114" s="28" t="s">
        <v>263</v>
      </c>
      <c r="D114" s="28"/>
      <c r="E114" s="28">
        <v>20251008</v>
      </c>
      <c r="F114" s="28"/>
      <c r="G114" s="29" t="s">
        <v>51</v>
      </c>
      <c r="H114" s="30" t="s">
        <v>61</v>
      </c>
      <c r="I114" s="28" t="s">
        <v>62</v>
      </c>
      <c r="J114" s="28" t="s">
        <v>54</v>
      </c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28">
        <f t="shared" si="1"/>
        <v>0</v>
      </c>
      <c r="AN114" s="28"/>
    </row>
    <row r="115" spans="1:40">
      <c r="A115" s="28">
        <v>113</v>
      </c>
      <c r="B115" s="29">
        <v>501301</v>
      </c>
      <c r="C115" s="28" t="s">
        <v>264</v>
      </c>
      <c r="D115" s="28"/>
      <c r="E115" s="28">
        <v>20251008</v>
      </c>
      <c r="F115" s="28"/>
      <c r="G115" s="29" t="s">
        <v>51</v>
      </c>
      <c r="H115" s="30" t="s">
        <v>61</v>
      </c>
      <c r="I115" s="28" t="s">
        <v>62</v>
      </c>
      <c r="J115" s="28" t="s">
        <v>58</v>
      </c>
      <c r="K115" s="47"/>
      <c r="L115" s="47">
        <v>1</v>
      </c>
      <c r="M115" s="47">
        <v>1</v>
      </c>
      <c r="N115" s="47">
        <v>1</v>
      </c>
      <c r="O115" s="47">
        <v>1</v>
      </c>
      <c r="P115" s="47">
        <v>1</v>
      </c>
      <c r="Q115" s="47">
        <v>1</v>
      </c>
      <c r="R115" s="47"/>
      <c r="S115" s="47">
        <v>1</v>
      </c>
      <c r="T115" s="47">
        <v>1</v>
      </c>
      <c r="U115" s="47">
        <v>1</v>
      </c>
      <c r="V115" s="47"/>
      <c r="W115" s="47"/>
      <c r="X115" s="47">
        <v>1</v>
      </c>
      <c r="Y115" s="47"/>
      <c r="Z115" s="47"/>
      <c r="AA115" s="47"/>
      <c r="AB115" s="47">
        <v>1</v>
      </c>
      <c r="AC115" s="47">
        <v>1</v>
      </c>
      <c r="AD115" s="47">
        <v>1</v>
      </c>
      <c r="AE115" s="47">
        <v>1</v>
      </c>
      <c r="AF115" s="47"/>
      <c r="AG115" s="47">
        <v>1</v>
      </c>
      <c r="AH115" s="47">
        <v>1</v>
      </c>
      <c r="AI115" s="47">
        <v>1</v>
      </c>
      <c r="AJ115" s="47">
        <v>1</v>
      </c>
      <c r="AK115" s="47">
        <v>1</v>
      </c>
      <c r="AL115" s="47">
        <v>1</v>
      </c>
      <c r="AM115" s="28">
        <f t="shared" si="1"/>
        <v>20</v>
      </c>
      <c r="AN115" s="28"/>
    </row>
    <row r="116" spans="1:40">
      <c r="A116" s="28">
        <v>114</v>
      </c>
      <c r="B116" s="29">
        <v>500242</v>
      </c>
      <c r="C116" s="28" t="s">
        <v>102</v>
      </c>
      <c r="D116" s="28"/>
      <c r="E116" s="28">
        <v>20151229</v>
      </c>
      <c r="F116" s="28"/>
      <c r="G116" s="29" t="s">
        <v>51</v>
      </c>
      <c r="H116" s="30" t="s">
        <v>103</v>
      </c>
      <c r="I116" s="28" t="s">
        <v>104</v>
      </c>
      <c r="J116" s="28" t="s">
        <v>58</v>
      </c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28">
        <f t="shared" si="1"/>
        <v>0</v>
      </c>
      <c r="AN116" s="28"/>
    </row>
    <row r="117" spans="1:40">
      <c r="A117" s="28">
        <v>115</v>
      </c>
      <c r="B117" s="29">
        <v>500298</v>
      </c>
      <c r="C117" s="28" t="s">
        <v>111</v>
      </c>
      <c r="D117" s="28"/>
      <c r="E117" s="28">
        <v>20160503</v>
      </c>
      <c r="F117" s="28"/>
      <c r="G117" s="29" t="s">
        <v>51</v>
      </c>
      <c r="H117" s="30" t="s">
        <v>103</v>
      </c>
      <c r="I117" s="28" t="s">
        <v>104</v>
      </c>
      <c r="J117" s="28" t="s">
        <v>58</v>
      </c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28">
        <f t="shared" si="1"/>
        <v>0</v>
      </c>
      <c r="AN117" s="28"/>
    </row>
    <row r="118" spans="1:40">
      <c r="A118" s="28">
        <v>116</v>
      </c>
      <c r="B118" s="29">
        <v>500389</v>
      </c>
      <c r="C118" s="28" t="s">
        <v>130</v>
      </c>
      <c r="D118" s="28"/>
      <c r="E118" s="28">
        <v>20161007</v>
      </c>
      <c r="F118" s="28"/>
      <c r="G118" s="29" t="s">
        <v>51</v>
      </c>
      <c r="H118" s="30" t="s">
        <v>103</v>
      </c>
      <c r="I118" s="28" t="s">
        <v>104</v>
      </c>
      <c r="J118" s="28" t="s">
        <v>54</v>
      </c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28">
        <f t="shared" si="1"/>
        <v>0</v>
      </c>
      <c r="AN118" s="28"/>
    </row>
    <row r="119" spans="1:40">
      <c r="A119" s="28">
        <v>117</v>
      </c>
      <c r="B119" s="29">
        <v>500689</v>
      </c>
      <c r="C119" s="28" t="s">
        <v>159</v>
      </c>
      <c r="D119" s="28"/>
      <c r="E119" s="28">
        <v>20180220</v>
      </c>
      <c r="F119" s="28"/>
      <c r="G119" s="29" t="s">
        <v>51</v>
      </c>
      <c r="H119" s="30" t="s">
        <v>103</v>
      </c>
      <c r="I119" s="28" t="s">
        <v>104</v>
      </c>
      <c r="J119" s="28" t="s">
        <v>58</v>
      </c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28">
        <f t="shared" si="1"/>
        <v>0</v>
      </c>
      <c r="AN119" s="28"/>
    </row>
    <row r="120" spans="1:40">
      <c r="A120" s="28">
        <v>118</v>
      </c>
      <c r="B120" s="29">
        <v>500756</v>
      </c>
      <c r="C120" s="28" t="s">
        <v>164</v>
      </c>
      <c r="D120" s="28"/>
      <c r="E120" s="28">
        <v>20180612</v>
      </c>
      <c r="F120" s="28"/>
      <c r="G120" s="29" t="s">
        <v>51</v>
      </c>
      <c r="H120" s="30" t="s">
        <v>103</v>
      </c>
      <c r="I120" s="28" t="s">
        <v>104</v>
      </c>
      <c r="J120" s="28" t="s">
        <v>58</v>
      </c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28">
        <f t="shared" si="1"/>
        <v>0</v>
      </c>
      <c r="AN120" s="28"/>
    </row>
    <row r="121" spans="1:40">
      <c r="A121" s="28">
        <v>119</v>
      </c>
      <c r="B121" s="29">
        <v>501073</v>
      </c>
      <c r="C121" s="28" t="s">
        <v>195</v>
      </c>
      <c r="D121" s="28"/>
      <c r="E121" s="28">
        <v>20211026</v>
      </c>
      <c r="F121" s="28"/>
      <c r="G121" s="29" t="s">
        <v>51</v>
      </c>
      <c r="H121" s="30" t="s">
        <v>103</v>
      </c>
      <c r="I121" s="28" t="s">
        <v>104</v>
      </c>
      <c r="J121" s="28" t="s">
        <v>54</v>
      </c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28">
        <f t="shared" si="1"/>
        <v>0</v>
      </c>
      <c r="AN121" s="28"/>
    </row>
    <row r="122" spans="1:40">
      <c r="A122" s="28">
        <v>120</v>
      </c>
      <c r="B122" s="29">
        <v>501252</v>
      </c>
      <c r="C122" s="28" t="s">
        <v>234</v>
      </c>
      <c r="D122" s="28"/>
      <c r="E122" s="28">
        <v>20241022</v>
      </c>
      <c r="F122" s="28"/>
      <c r="G122" s="29" t="s">
        <v>51</v>
      </c>
      <c r="H122" s="30" t="s">
        <v>103</v>
      </c>
      <c r="I122" s="28" t="s">
        <v>104</v>
      </c>
      <c r="J122" s="28" t="s">
        <v>58</v>
      </c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28">
        <f t="shared" si="1"/>
        <v>0</v>
      </c>
      <c r="AN122" s="28"/>
    </row>
    <row r="123" spans="1:40">
      <c r="A123" s="28">
        <v>121</v>
      </c>
      <c r="B123" s="29">
        <v>500349</v>
      </c>
      <c r="C123" s="28" t="s">
        <v>120</v>
      </c>
      <c r="D123" s="28"/>
      <c r="E123" s="28">
        <v>20160728</v>
      </c>
      <c r="F123" s="28"/>
      <c r="G123" s="29" t="s">
        <v>51</v>
      </c>
      <c r="H123" s="30" t="s">
        <v>121</v>
      </c>
      <c r="I123" s="28" t="s">
        <v>122</v>
      </c>
      <c r="J123" s="28" t="s">
        <v>54</v>
      </c>
      <c r="K123" s="47"/>
      <c r="L123" s="47">
        <v>1</v>
      </c>
      <c r="M123" s="47">
        <v>1</v>
      </c>
      <c r="N123" s="47">
        <v>1</v>
      </c>
      <c r="O123" s="47">
        <v>1</v>
      </c>
      <c r="P123" s="47">
        <v>1</v>
      </c>
      <c r="Q123" s="47">
        <v>1</v>
      </c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>
        <v>1</v>
      </c>
      <c r="AH123" s="47">
        <v>1</v>
      </c>
      <c r="AI123" s="47">
        <v>1</v>
      </c>
      <c r="AJ123" s="47">
        <v>1</v>
      </c>
      <c r="AK123" s="47">
        <v>1</v>
      </c>
      <c r="AL123" s="47">
        <v>1</v>
      </c>
      <c r="AM123" s="28">
        <f t="shared" si="1"/>
        <v>12</v>
      </c>
      <c r="AN123" s="28"/>
    </row>
    <row r="124" spans="1:40">
      <c r="A124" s="28">
        <v>122</v>
      </c>
      <c r="B124" s="29">
        <v>500800</v>
      </c>
      <c r="C124" s="28" t="s">
        <v>172</v>
      </c>
      <c r="D124" s="28"/>
      <c r="E124" s="28">
        <v>20181009</v>
      </c>
      <c r="F124" s="28"/>
      <c r="G124" s="29" t="s">
        <v>51</v>
      </c>
      <c r="H124" s="30" t="s">
        <v>121</v>
      </c>
      <c r="I124" s="28" t="s">
        <v>122</v>
      </c>
      <c r="J124" s="28" t="s">
        <v>58</v>
      </c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28">
        <f t="shared" si="1"/>
        <v>0</v>
      </c>
      <c r="AN124" s="28"/>
    </row>
    <row r="125" spans="1:40">
      <c r="A125" s="28">
        <v>123</v>
      </c>
      <c r="B125" s="29">
        <v>501228</v>
      </c>
      <c r="C125" s="28" t="s">
        <v>219</v>
      </c>
      <c r="D125" s="28"/>
      <c r="E125" s="28">
        <v>20240702</v>
      </c>
      <c r="F125" s="28"/>
      <c r="G125" s="29" t="s">
        <v>51</v>
      </c>
      <c r="H125" s="30" t="s">
        <v>121</v>
      </c>
      <c r="I125" s="28" t="s">
        <v>122</v>
      </c>
      <c r="J125" s="28" t="s">
        <v>54</v>
      </c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>
        <v>1</v>
      </c>
      <c r="AC125" s="47">
        <v>1</v>
      </c>
      <c r="AD125" s="47">
        <v>1</v>
      </c>
      <c r="AE125" s="47">
        <v>1</v>
      </c>
      <c r="AF125" s="47"/>
      <c r="AG125" s="47"/>
      <c r="AH125" s="47"/>
      <c r="AI125" s="47"/>
      <c r="AJ125" s="47"/>
      <c r="AK125" s="47"/>
      <c r="AL125" s="47"/>
      <c r="AM125" s="28">
        <f t="shared" si="1"/>
        <v>4</v>
      </c>
      <c r="AN125" s="28"/>
    </row>
    <row r="126" spans="1:40">
      <c r="A126" s="28">
        <v>124</v>
      </c>
      <c r="B126" s="29">
        <v>501239</v>
      </c>
      <c r="C126" s="28" t="s">
        <v>224</v>
      </c>
      <c r="D126" s="28"/>
      <c r="E126" s="28">
        <v>20240827</v>
      </c>
      <c r="F126" s="28"/>
      <c r="G126" s="29" t="s">
        <v>51</v>
      </c>
      <c r="H126" s="30" t="s">
        <v>121</v>
      </c>
      <c r="I126" s="28" t="s">
        <v>122</v>
      </c>
      <c r="J126" s="28" t="s">
        <v>54</v>
      </c>
      <c r="K126" s="47"/>
      <c r="L126" s="47"/>
      <c r="M126" s="47"/>
      <c r="N126" s="47"/>
      <c r="O126" s="47"/>
      <c r="P126" s="47"/>
      <c r="Q126" s="47"/>
      <c r="R126" s="47"/>
      <c r="S126" s="47">
        <v>1</v>
      </c>
      <c r="T126" s="47">
        <v>1</v>
      </c>
      <c r="U126" s="47">
        <v>1</v>
      </c>
      <c r="V126" s="47"/>
      <c r="W126" s="47"/>
      <c r="X126" s="47">
        <v>1</v>
      </c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28">
        <f t="shared" si="1"/>
        <v>4</v>
      </c>
      <c r="AN126" s="28"/>
    </row>
    <row r="127" spans="1:40">
      <c r="A127" s="28">
        <v>125</v>
      </c>
      <c r="B127" s="29">
        <v>501273</v>
      </c>
      <c r="C127" s="28" t="s">
        <v>246</v>
      </c>
      <c r="D127" s="28"/>
      <c r="E127" s="28">
        <v>20250423</v>
      </c>
      <c r="F127" s="28"/>
      <c r="G127" s="29" t="s">
        <v>51</v>
      </c>
      <c r="H127" s="30" t="s">
        <v>121</v>
      </c>
      <c r="I127" s="28" t="s">
        <v>122</v>
      </c>
      <c r="J127" s="28" t="s">
        <v>54</v>
      </c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28">
        <f t="shared" si="1"/>
        <v>0</v>
      </c>
      <c r="AN127" s="28"/>
    </row>
    <row r="128" spans="1:40">
      <c r="A128" s="28">
        <v>126</v>
      </c>
      <c r="B128" s="29">
        <v>500314</v>
      </c>
      <c r="C128" s="28" t="s">
        <v>113</v>
      </c>
      <c r="D128" s="28"/>
      <c r="E128" s="28">
        <v>20160526</v>
      </c>
      <c r="F128" s="28"/>
      <c r="G128" s="29" t="s">
        <v>51</v>
      </c>
      <c r="H128" s="30" t="s">
        <v>114</v>
      </c>
      <c r="I128" s="28" t="s">
        <v>115</v>
      </c>
      <c r="J128" s="28" t="s">
        <v>58</v>
      </c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28">
        <f t="shared" si="1"/>
        <v>0</v>
      </c>
      <c r="AN128" s="28"/>
    </row>
    <row r="129" spans="1:40">
      <c r="A129" s="28">
        <v>127</v>
      </c>
      <c r="B129" s="29">
        <v>500316</v>
      </c>
      <c r="C129" s="28" t="s">
        <v>116</v>
      </c>
      <c r="D129" s="28"/>
      <c r="E129" s="28">
        <v>20160602</v>
      </c>
      <c r="F129" s="28"/>
      <c r="G129" s="29" t="s">
        <v>51</v>
      </c>
      <c r="H129" s="30" t="s">
        <v>114</v>
      </c>
      <c r="I129" s="28" t="s">
        <v>115</v>
      </c>
      <c r="J129" s="28" t="s">
        <v>58</v>
      </c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28">
        <f t="shared" si="1"/>
        <v>0</v>
      </c>
      <c r="AN129" s="28"/>
    </row>
    <row r="130" spans="1:40">
      <c r="A130" s="28">
        <v>128</v>
      </c>
      <c r="B130" s="29">
        <v>500317</v>
      </c>
      <c r="C130" s="28" t="s">
        <v>117</v>
      </c>
      <c r="D130" s="28"/>
      <c r="E130" s="28">
        <v>20160602</v>
      </c>
      <c r="F130" s="28"/>
      <c r="G130" s="29" t="s">
        <v>51</v>
      </c>
      <c r="H130" s="30" t="s">
        <v>114</v>
      </c>
      <c r="I130" s="28" t="s">
        <v>115</v>
      </c>
      <c r="J130" s="28" t="s">
        <v>58</v>
      </c>
      <c r="K130" s="47">
        <v>1</v>
      </c>
      <c r="L130" s="47"/>
      <c r="M130" s="47">
        <v>1</v>
      </c>
      <c r="N130" s="47">
        <v>1</v>
      </c>
      <c r="O130" s="47">
        <v>1</v>
      </c>
      <c r="P130" s="47">
        <v>1</v>
      </c>
      <c r="Q130" s="47">
        <v>1</v>
      </c>
      <c r="R130" s="47">
        <v>1</v>
      </c>
      <c r="S130" s="47"/>
      <c r="T130" s="47">
        <v>1</v>
      </c>
      <c r="U130" s="47">
        <v>1</v>
      </c>
      <c r="V130" s="47">
        <v>1</v>
      </c>
      <c r="W130" s="47">
        <v>1</v>
      </c>
      <c r="X130" s="47">
        <v>1</v>
      </c>
      <c r="Y130" s="47">
        <v>1</v>
      </c>
      <c r="Z130" s="47"/>
      <c r="AA130" s="47">
        <v>1</v>
      </c>
      <c r="AB130" s="47">
        <v>1</v>
      </c>
      <c r="AC130" s="47">
        <v>1</v>
      </c>
      <c r="AD130" s="47">
        <v>1</v>
      </c>
      <c r="AE130" s="47">
        <v>1</v>
      </c>
      <c r="AF130" s="47">
        <v>1</v>
      </c>
      <c r="AG130" s="47"/>
      <c r="AH130" s="47">
        <v>1</v>
      </c>
      <c r="AI130" s="47">
        <v>1</v>
      </c>
      <c r="AJ130" s="47">
        <v>1</v>
      </c>
      <c r="AK130" s="47">
        <v>1</v>
      </c>
      <c r="AL130" s="47">
        <v>1</v>
      </c>
      <c r="AM130" s="28">
        <f t="shared" si="1"/>
        <v>24</v>
      </c>
      <c r="AN130" s="28"/>
    </row>
    <row r="131" spans="1:40">
      <c r="A131" s="28">
        <v>129</v>
      </c>
      <c r="B131" s="29">
        <v>500694</v>
      </c>
      <c r="C131" s="28" t="s">
        <v>160</v>
      </c>
      <c r="D131" s="28"/>
      <c r="E131" s="28">
        <v>20180227</v>
      </c>
      <c r="F131" s="28"/>
      <c r="G131" s="29" t="s">
        <v>51</v>
      </c>
      <c r="H131" s="30" t="s">
        <v>114</v>
      </c>
      <c r="I131" s="28" t="s">
        <v>115</v>
      </c>
      <c r="J131" s="28" t="s">
        <v>58</v>
      </c>
      <c r="K131" s="47"/>
      <c r="L131" s="47">
        <v>1</v>
      </c>
      <c r="M131" s="47"/>
      <c r="N131" s="47"/>
      <c r="O131" s="47"/>
      <c r="P131" s="47"/>
      <c r="Q131" s="47"/>
      <c r="R131" s="47"/>
      <c r="S131" s="47">
        <v>1</v>
      </c>
      <c r="T131" s="47"/>
      <c r="U131" s="47"/>
      <c r="V131" s="47"/>
      <c r="W131" s="47"/>
      <c r="X131" s="47"/>
      <c r="Y131" s="47"/>
      <c r="Z131" s="47">
        <v>1</v>
      </c>
      <c r="AA131" s="47"/>
      <c r="AB131" s="47"/>
      <c r="AC131" s="47"/>
      <c r="AD131" s="47"/>
      <c r="AE131" s="47"/>
      <c r="AF131" s="47"/>
      <c r="AG131" s="47">
        <v>1</v>
      </c>
      <c r="AH131" s="47"/>
      <c r="AI131" s="47"/>
      <c r="AJ131" s="47"/>
      <c r="AK131" s="47"/>
      <c r="AL131" s="47"/>
      <c r="AM131" s="28">
        <f t="shared" ref="AM131:AM194" si="2">SUM(K131:AL131)</f>
        <v>4</v>
      </c>
      <c r="AN131" s="28"/>
    </row>
    <row r="132" spans="1:40">
      <c r="A132" s="28">
        <v>130</v>
      </c>
      <c r="B132" s="29">
        <v>500939</v>
      </c>
      <c r="C132" s="28" t="s">
        <v>185</v>
      </c>
      <c r="D132" s="28"/>
      <c r="E132" s="28">
        <v>20191115</v>
      </c>
      <c r="F132" s="28"/>
      <c r="G132" s="29" t="s">
        <v>51</v>
      </c>
      <c r="H132" s="30" t="s">
        <v>114</v>
      </c>
      <c r="I132" s="28" t="s">
        <v>115</v>
      </c>
      <c r="J132" s="28" t="s">
        <v>58</v>
      </c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28">
        <f t="shared" si="2"/>
        <v>0</v>
      </c>
      <c r="AN132" s="28"/>
    </row>
    <row r="133" spans="1:40">
      <c r="A133" s="28">
        <v>131</v>
      </c>
      <c r="B133" s="29">
        <v>500978</v>
      </c>
      <c r="C133" s="28" t="s">
        <v>189</v>
      </c>
      <c r="D133" s="28"/>
      <c r="E133" s="28">
        <v>20200303</v>
      </c>
      <c r="F133" s="28"/>
      <c r="G133" s="29" t="s">
        <v>51</v>
      </c>
      <c r="H133" s="30" t="s">
        <v>114</v>
      </c>
      <c r="I133" s="28" t="s">
        <v>115</v>
      </c>
      <c r="J133" s="28" t="s">
        <v>58</v>
      </c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28">
        <f t="shared" si="2"/>
        <v>0</v>
      </c>
      <c r="AN133" s="28"/>
    </row>
    <row r="134" spans="1:40">
      <c r="A134" s="28">
        <v>132</v>
      </c>
      <c r="B134" s="29">
        <v>501166</v>
      </c>
      <c r="C134" s="28" t="s">
        <v>205</v>
      </c>
      <c r="D134" s="28"/>
      <c r="E134" s="28">
        <v>20221122</v>
      </c>
      <c r="F134" s="28"/>
      <c r="G134" s="29" t="s">
        <v>51</v>
      </c>
      <c r="H134" s="30" t="s">
        <v>114</v>
      </c>
      <c r="I134" s="28" t="s">
        <v>115</v>
      </c>
      <c r="J134" s="28" t="s">
        <v>58</v>
      </c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28">
        <f t="shared" si="2"/>
        <v>0</v>
      </c>
      <c r="AN134" s="28"/>
    </row>
    <row r="135" spans="1:40">
      <c r="A135" s="28">
        <v>133</v>
      </c>
      <c r="B135" s="29">
        <v>501247</v>
      </c>
      <c r="C135" s="28" t="s">
        <v>229</v>
      </c>
      <c r="D135" s="28"/>
      <c r="E135" s="28">
        <v>20240913</v>
      </c>
      <c r="F135" s="28"/>
      <c r="G135" s="29" t="s">
        <v>51</v>
      </c>
      <c r="H135" s="30" t="s">
        <v>114</v>
      </c>
      <c r="I135" s="28" t="s">
        <v>115</v>
      </c>
      <c r="J135" s="28" t="s">
        <v>58</v>
      </c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28">
        <f t="shared" si="2"/>
        <v>0</v>
      </c>
      <c r="AN135" s="28"/>
    </row>
    <row r="136" spans="1:40">
      <c r="A136" s="28">
        <v>134</v>
      </c>
      <c r="B136" s="29">
        <v>500012</v>
      </c>
      <c r="C136" s="28" t="s">
        <v>64</v>
      </c>
      <c r="D136" s="28"/>
      <c r="E136" s="28">
        <v>20141001</v>
      </c>
      <c r="F136" s="28"/>
      <c r="G136" s="29" t="s">
        <v>51</v>
      </c>
      <c r="H136" s="30" t="s">
        <v>65</v>
      </c>
      <c r="I136" s="28" t="s">
        <v>66</v>
      </c>
      <c r="J136" s="28" t="s">
        <v>54</v>
      </c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28">
        <f t="shared" si="2"/>
        <v>0</v>
      </c>
      <c r="AN136" s="28"/>
    </row>
    <row r="137" spans="1:40">
      <c r="A137" s="28">
        <v>135</v>
      </c>
      <c r="B137" s="29">
        <v>500073</v>
      </c>
      <c r="C137" s="28" t="s">
        <v>80</v>
      </c>
      <c r="D137" s="28"/>
      <c r="E137" s="28">
        <v>20150610</v>
      </c>
      <c r="F137" s="28"/>
      <c r="G137" s="29" t="s">
        <v>51</v>
      </c>
      <c r="H137" s="30" t="s">
        <v>65</v>
      </c>
      <c r="I137" s="28" t="s">
        <v>66</v>
      </c>
      <c r="J137" s="28" t="s">
        <v>54</v>
      </c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28">
        <f t="shared" si="2"/>
        <v>0</v>
      </c>
      <c r="AN137" s="28"/>
    </row>
    <row r="138" spans="1:40">
      <c r="A138" s="28">
        <v>136</v>
      </c>
      <c r="B138" s="29">
        <v>500192</v>
      </c>
      <c r="C138" s="28" t="s">
        <v>93</v>
      </c>
      <c r="D138" s="28"/>
      <c r="E138" s="28">
        <v>20151105</v>
      </c>
      <c r="F138" s="28"/>
      <c r="G138" s="29" t="s">
        <v>51</v>
      </c>
      <c r="H138" s="30" t="s">
        <v>65</v>
      </c>
      <c r="I138" s="28" t="s">
        <v>66</v>
      </c>
      <c r="J138" s="28" t="s">
        <v>54</v>
      </c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28">
        <f t="shared" si="2"/>
        <v>0</v>
      </c>
      <c r="AN138" s="28"/>
    </row>
    <row r="139" spans="1:40">
      <c r="A139" s="28">
        <v>137</v>
      </c>
      <c r="B139" s="29">
        <v>500331</v>
      </c>
      <c r="C139" s="28" t="s">
        <v>118</v>
      </c>
      <c r="D139" s="28"/>
      <c r="E139" s="28">
        <v>20160627</v>
      </c>
      <c r="F139" s="28"/>
      <c r="G139" s="29" t="s">
        <v>51</v>
      </c>
      <c r="H139" s="30" t="s">
        <v>65</v>
      </c>
      <c r="I139" s="28" t="s">
        <v>66</v>
      </c>
      <c r="J139" s="28" t="s">
        <v>54</v>
      </c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28">
        <f t="shared" si="2"/>
        <v>0</v>
      </c>
      <c r="AN139" s="28"/>
    </row>
    <row r="140" spans="1:40">
      <c r="A140" s="28">
        <v>138</v>
      </c>
      <c r="B140" s="29">
        <v>500529</v>
      </c>
      <c r="C140" s="28" t="s">
        <v>149</v>
      </c>
      <c r="D140" s="28"/>
      <c r="E140" s="28">
        <v>20170502</v>
      </c>
      <c r="F140" s="28"/>
      <c r="G140" s="29" t="s">
        <v>51</v>
      </c>
      <c r="H140" s="30" t="s">
        <v>65</v>
      </c>
      <c r="I140" s="28" t="s">
        <v>66</v>
      </c>
      <c r="J140" s="28" t="s">
        <v>54</v>
      </c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28">
        <f t="shared" si="2"/>
        <v>0</v>
      </c>
      <c r="AN140" s="28"/>
    </row>
    <row r="141" spans="1:40">
      <c r="A141" s="28">
        <v>139</v>
      </c>
      <c r="B141" s="29">
        <v>500716</v>
      </c>
      <c r="C141" s="28" t="s">
        <v>162</v>
      </c>
      <c r="D141" s="28"/>
      <c r="E141" s="28">
        <v>20180328</v>
      </c>
      <c r="F141" s="28"/>
      <c r="G141" s="29" t="s">
        <v>51</v>
      </c>
      <c r="H141" s="30" t="s">
        <v>65</v>
      </c>
      <c r="I141" s="28" t="s">
        <v>66</v>
      </c>
      <c r="J141" s="28" t="s">
        <v>54</v>
      </c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28">
        <f t="shared" si="2"/>
        <v>0</v>
      </c>
      <c r="AN141" s="28"/>
    </row>
    <row r="142" spans="1:40">
      <c r="A142" s="28">
        <v>140</v>
      </c>
      <c r="B142" s="29">
        <v>500040</v>
      </c>
      <c r="C142" s="28" t="s">
        <v>70</v>
      </c>
      <c r="D142" s="28"/>
      <c r="E142" s="28">
        <v>20150224</v>
      </c>
      <c r="F142" s="28"/>
      <c r="G142" s="29" t="s">
        <v>51</v>
      </c>
      <c r="H142" s="30" t="s">
        <v>71</v>
      </c>
      <c r="I142" s="28" t="s">
        <v>72</v>
      </c>
      <c r="J142" s="28" t="s">
        <v>54</v>
      </c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28">
        <f t="shared" si="2"/>
        <v>0</v>
      </c>
      <c r="AN142" s="28"/>
    </row>
    <row r="143" spans="1:40">
      <c r="A143" s="28">
        <v>141</v>
      </c>
      <c r="B143" s="29">
        <v>500076</v>
      </c>
      <c r="C143" s="28" t="s">
        <v>81</v>
      </c>
      <c r="D143" s="28"/>
      <c r="E143" s="28">
        <v>20150615</v>
      </c>
      <c r="F143" s="28"/>
      <c r="G143" s="29" t="s">
        <v>51</v>
      </c>
      <c r="H143" s="30" t="s">
        <v>71</v>
      </c>
      <c r="I143" s="28" t="s">
        <v>72</v>
      </c>
      <c r="J143" s="28" t="s">
        <v>54</v>
      </c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28">
        <f t="shared" si="2"/>
        <v>0</v>
      </c>
      <c r="AN143" s="28"/>
    </row>
    <row r="144" spans="1:40">
      <c r="A144" s="28">
        <v>142</v>
      </c>
      <c r="B144" s="29">
        <v>500115</v>
      </c>
      <c r="C144" s="28" t="s">
        <v>85</v>
      </c>
      <c r="D144" s="28"/>
      <c r="E144" s="28">
        <v>20150724</v>
      </c>
      <c r="F144" s="28"/>
      <c r="G144" s="29" t="s">
        <v>51</v>
      </c>
      <c r="H144" s="30" t="s">
        <v>71</v>
      </c>
      <c r="I144" s="28" t="s">
        <v>72</v>
      </c>
      <c r="J144" s="28" t="s">
        <v>54</v>
      </c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28">
        <f t="shared" si="2"/>
        <v>0</v>
      </c>
      <c r="AN144" s="28"/>
    </row>
    <row r="145" spans="1:40">
      <c r="A145" s="28">
        <v>143</v>
      </c>
      <c r="B145" s="29">
        <v>500156</v>
      </c>
      <c r="C145" s="28" t="s">
        <v>88</v>
      </c>
      <c r="D145" s="28"/>
      <c r="E145" s="28">
        <v>20150901</v>
      </c>
      <c r="F145" s="28"/>
      <c r="G145" s="29" t="s">
        <v>51</v>
      </c>
      <c r="H145" s="30" t="s">
        <v>71</v>
      </c>
      <c r="I145" s="28" t="s">
        <v>72</v>
      </c>
      <c r="J145" s="28" t="s">
        <v>54</v>
      </c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28">
        <f t="shared" si="2"/>
        <v>0</v>
      </c>
      <c r="AN145" s="28"/>
    </row>
    <row r="146" spans="1:40">
      <c r="A146" s="28">
        <v>144</v>
      </c>
      <c r="B146" s="29">
        <v>500538</v>
      </c>
      <c r="C146" s="28" t="s">
        <v>151</v>
      </c>
      <c r="D146" s="28"/>
      <c r="E146" s="28">
        <v>20170523</v>
      </c>
      <c r="F146" s="28"/>
      <c r="G146" s="29" t="s">
        <v>51</v>
      </c>
      <c r="H146" s="30" t="s">
        <v>71</v>
      </c>
      <c r="I146" s="28" t="s">
        <v>72</v>
      </c>
      <c r="J146" s="28" t="s">
        <v>58</v>
      </c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28">
        <f t="shared" si="2"/>
        <v>0</v>
      </c>
      <c r="AN146" s="28"/>
    </row>
    <row r="147" spans="1:40">
      <c r="A147" s="28">
        <v>145</v>
      </c>
      <c r="B147" s="29">
        <v>500784</v>
      </c>
      <c r="C147" s="28" t="s">
        <v>170</v>
      </c>
      <c r="D147" s="28"/>
      <c r="E147" s="28">
        <v>20180823</v>
      </c>
      <c r="F147" s="28"/>
      <c r="G147" s="29" t="s">
        <v>51</v>
      </c>
      <c r="H147" s="30" t="s">
        <v>71</v>
      </c>
      <c r="I147" s="28" t="s">
        <v>72</v>
      </c>
      <c r="J147" s="28" t="s">
        <v>54</v>
      </c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28">
        <f t="shared" si="2"/>
        <v>0</v>
      </c>
      <c r="AN147" s="28"/>
    </row>
    <row r="148" spans="1:40">
      <c r="A148" s="28">
        <v>146</v>
      </c>
      <c r="B148" s="29">
        <v>501087</v>
      </c>
      <c r="C148" s="28" t="s">
        <v>197</v>
      </c>
      <c r="D148" s="28"/>
      <c r="E148" s="28">
        <v>20211123</v>
      </c>
      <c r="F148" s="28"/>
      <c r="G148" s="29" t="s">
        <v>51</v>
      </c>
      <c r="H148" s="30" t="s">
        <v>71</v>
      </c>
      <c r="I148" s="28" t="s">
        <v>72</v>
      </c>
      <c r="J148" s="28" t="s">
        <v>58</v>
      </c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28">
        <f t="shared" si="2"/>
        <v>0</v>
      </c>
      <c r="AN148" s="28"/>
    </row>
    <row r="149" spans="1:40">
      <c r="A149" s="28">
        <v>147</v>
      </c>
      <c r="B149" s="29">
        <v>501225</v>
      </c>
      <c r="C149" s="28" t="s">
        <v>217</v>
      </c>
      <c r="D149" s="28"/>
      <c r="E149" s="28">
        <v>20240619</v>
      </c>
      <c r="F149" s="28"/>
      <c r="G149" s="29" t="s">
        <v>51</v>
      </c>
      <c r="H149" s="30" t="s">
        <v>71</v>
      </c>
      <c r="I149" s="28" t="s">
        <v>72</v>
      </c>
      <c r="J149" s="28" t="s">
        <v>54</v>
      </c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28">
        <f t="shared" si="2"/>
        <v>0</v>
      </c>
      <c r="AN149" s="28"/>
    </row>
    <row r="150" spans="1:40">
      <c r="A150" s="28">
        <v>148</v>
      </c>
      <c r="B150" s="29">
        <v>501226</v>
      </c>
      <c r="C150" s="28" t="s">
        <v>218</v>
      </c>
      <c r="D150" s="28"/>
      <c r="E150" s="28">
        <v>20240619</v>
      </c>
      <c r="F150" s="28"/>
      <c r="G150" s="29" t="s">
        <v>51</v>
      </c>
      <c r="H150" s="30" t="s">
        <v>71</v>
      </c>
      <c r="I150" s="28" t="s">
        <v>72</v>
      </c>
      <c r="J150" s="28" t="s">
        <v>54</v>
      </c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28">
        <f t="shared" si="2"/>
        <v>0</v>
      </c>
      <c r="AN150" s="28"/>
    </row>
    <row r="151" spans="1:40">
      <c r="A151" s="28">
        <v>149</v>
      </c>
      <c r="B151" s="29">
        <v>500402</v>
      </c>
      <c r="C151" s="28" t="s">
        <v>131</v>
      </c>
      <c r="D151" s="28"/>
      <c r="E151" s="28">
        <v>20161017</v>
      </c>
      <c r="F151" s="28"/>
      <c r="G151" s="29" t="s">
        <v>51</v>
      </c>
      <c r="H151" s="30" t="s">
        <v>132</v>
      </c>
      <c r="I151" s="28" t="s">
        <v>133</v>
      </c>
      <c r="J151" s="28" t="s">
        <v>54</v>
      </c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28">
        <f t="shared" si="2"/>
        <v>0</v>
      </c>
      <c r="AN151" s="28"/>
    </row>
    <row r="152" spans="1:40">
      <c r="A152" s="28">
        <v>150</v>
      </c>
      <c r="B152" s="29">
        <v>500441</v>
      </c>
      <c r="C152" s="28" t="s">
        <v>139</v>
      </c>
      <c r="D152" s="28"/>
      <c r="E152" s="28">
        <v>20161227</v>
      </c>
      <c r="F152" s="28"/>
      <c r="G152" s="29" t="s">
        <v>51</v>
      </c>
      <c r="H152" s="30" t="s">
        <v>132</v>
      </c>
      <c r="I152" s="28" t="s">
        <v>133</v>
      </c>
      <c r="J152" s="28" t="s">
        <v>54</v>
      </c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28">
        <f t="shared" si="2"/>
        <v>0</v>
      </c>
      <c r="AN152" s="28"/>
    </row>
    <row r="153" spans="1:40">
      <c r="A153" s="28">
        <v>151</v>
      </c>
      <c r="B153" s="29">
        <v>500722</v>
      </c>
      <c r="C153" s="28" t="s">
        <v>163</v>
      </c>
      <c r="D153" s="28"/>
      <c r="E153" s="28">
        <v>20180424</v>
      </c>
      <c r="F153" s="28"/>
      <c r="G153" s="29" t="s">
        <v>51</v>
      </c>
      <c r="H153" s="30" t="s">
        <v>132</v>
      </c>
      <c r="I153" s="28" t="s">
        <v>133</v>
      </c>
      <c r="J153" s="28" t="s">
        <v>54</v>
      </c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28">
        <f t="shared" si="2"/>
        <v>0</v>
      </c>
      <c r="AN153" s="28"/>
    </row>
    <row r="154" spans="1:40">
      <c r="A154" s="28">
        <v>152</v>
      </c>
      <c r="B154" s="29">
        <v>500783</v>
      </c>
      <c r="C154" s="28" t="s">
        <v>169</v>
      </c>
      <c r="D154" s="28"/>
      <c r="E154" s="28">
        <v>20180801</v>
      </c>
      <c r="F154" s="28"/>
      <c r="G154" s="29" t="s">
        <v>51</v>
      </c>
      <c r="H154" s="30" t="s">
        <v>132</v>
      </c>
      <c r="I154" s="28" t="s">
        <v>133</v>
      </c>
      <c r="J154" s="28" t="s">
        <v>54</v>
      </c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28">
        <f t="shared" si="2"/>
        <v>0</v>
      </c>
      <c r="AN154" s="28"/>
    </row>
    <row r="155" spans="1:40">
      <c r="A155" s="28">
        <v>153</v>
      </c>
      <c r="B155" s="29">
        <v>501207</v>
      </c>
      <c r="C155" s="28" t="s">
        <v>212</v>
      </c>
      <c r="D155" s="28"/>
      <c r="E155" s="28">
        <v>20240206</v>
      </c>
      <c r="F155" s="28"/>
      <c r="G155" s="29" t="s">
        <v>51</v>
      </c>
      <c r="H155" s="30" t="s">
        <v>132</v>
      </c>
      <c r="I155" s="28" t="s">
        <v>133</v>
      </c>
      <c r="J155" s="28" t="s">
        <v>54</v>
      </c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28">
        <f t="shared" si="2"/>
        <v>0</v>
      </c>
      <c r="AN155" s="28"/>
    </row>
    <row r="156" spans="1:40">
      <c r="A156" s="28">
        <v>154</v>
      </c>
      <c r="B156" s="29">
        <v>501298</v>
      </c>
      <c r="C156" s="28" t="s">
        <v>261</v>
      </c>
      <c r="D156" s="28"/>
      <c r="E156" s="28">
        <v>20250909</v>
      </c>
      <c r="F156" s="28"/>
      <c r="G156" s="29" t="s">
        <v>51</v>
      </c>
      <c r="H156" s="30" t="s">
        <v>132</v>
      </c>
      <c r="I156" s="28" t="s">
        <v>133</v>
      </c>
      <c r="J156" s="28" t="s">
        <v>54</v>
      </c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28">
        <f t="shared" si="2"/>
        <v>0</v>
      </c>
      <c r="AN156" s="28"/>
    </row>
    <row r="157" spans="1:40">
      <c r="A157" s="28">
        <v>155</v>
      </c>
      <c r="B157" s="29">
        <v>501307</v>
      </c>
      <c r="C157" s="28" t="s">
        <v>269</v>
      </c>
      <c r="D157" s="28"/>
      <c r="E157" s="28">
        <v>20251111</v>
      </c>
      <c r="F157" s="28"/>
      <c r="G157" s="29" t="s">
        <v>51</v>
      </c>
      <c r="H157" s="30" t="s">
        <v>132</v>
      </c>
      <c r="I157" s="28" t="s">
        <v>133</v>
      </c>
      <c r="J157" s="28" t="s">
        <v>54</v>
      </c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28">
        <f t="shared" si="2"/>
        <v>0</v>
      </c>
      <c r="AN157" s="28"/>
    </row>
    <row r="158" spans="1:40">
      <c r="A158" s="28">
        <v>156</v>
      </c>
      <c r="B158" s="29">
        <v>501308</v>
      </c>
      <c r="C158" s="28" t="s">
        <v>270</v>
      </c>
      <c r="D158" s="28"/>
      <c r="E158" s="28">
        <v>20251111</v>
      </c>
      <c r="F158" s="28"/>
      <c r="G158" s="29" t="s">
        <v>51</v>
      </c>
      <c r="H158" s="30" t="s">
        <v>132</v>
      </c>
      <c r="I158" s="28" t="s">
        <v>133</v>
      </c>
      <c r="J158" s="28" t="s">
        <v>54</v>
      </c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28">
        <f t="shared" si="2"/>
        <v>0</v>
      </c>
      <c r="AN158" s="28"/>
    </row>
    <row r="159" spans="1:40">
      <c r="A159" s="28">
        <v>157</v>
      </c>
      <c r="B159" s="41">
        <v>501309</v>
      </c>
      <c r="C159" s="40" t="s">
        <v>271</v>
      </c>
      <c r="D159" s="40"/>
      <c r="E159" s="40">
        <v>20251111</v>
      </c>
      <c r="F159" s="40">
        <v>20260205</v>
      </c>
      <c r="G159" s="41" t="s">
        <v>51</v>
      </c>
      <c r="H159" s="42" t="s">
        <v>132</v>
      </c>
      <c r="I159" s="40" t="s">
        <v>133</v>
      </c>
      <c r="J159" s="40" t="s">
        <v>54</v>
      </c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28">
        <f t="shared" si="2"/>
        <v>0</v>
      </c>
      <c r="AN159" s="28"/>
    </row>
    <row r="160" spans="1:40">
      <c r="A160" s="28">
        <v>158</v>
      </c>
      <c r="B160" s="29">
        <v>501310</v>
      </c>
      <c r="C160" s="28" t="s">
        <v>272</v>
      </c>
      <c r="D160" s="28"/>
      <c r="E160" s="28">
        <v>20251111</v>
      </c>
      <c r="F160" s="28"/>
      <c r="G160" s="29" t="s">
        <v>51</v>
      </c>
      <c r="H160" s="30" t="s">
        <v>132</v>
      </c>
      <c r="I160" s="28" t="s">
        <v>133</v>
      </c>
      <c r="J160" s="28" t="s">
        <v>58</v>
      </c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28">
        <f t="shared" si="2"/>
        <v>0</v>
      </c>
      <c r="AN160" s="28"/>
    </row>
    <row r="161" spans="1:40">
      <c r="A161" s="28">
        <v>159</v>
      </c>
      <c r="B161" s="29">
        <v>501315</v>
      </c>
      <c r="C161" s="28" t="s">
        <v>428</v>
      </c>
      <c r="D161" s="28"/>
      <c r="E161" s="28">
        <v>20260203</v>
      </c>
      <c r="F161" s="28"/>
      <c r="G161" s="29" t="s">
        <v>51</v>
      </c>
      <c r="H161" s="30" t="s">
        <v>132</v>
      </c>
      <c r="I161" s="28" t="s">
        <v>133</v>
      </c>
      <c r="J161" s="28" t="s">
        <v>58</v>
      </c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>
        <f t="shared" si="2"/>
        <v>0</v>
      </c>
      <c r="AN161" s="28"/>
    </row>
    <row r="162" spans="1:40">
      <c r="A162" s="28">
        <v>160</v>
      </c>
      <c r="B162" s="29">
        <v>500056</v>
      </c>
      <c r="C162" s="28" t="s">
        <v>63</v>
      </c>
      <c r="D162" s="28"/>
      <c r="E162" s="28">
        <v>20150518</v>
      </c>
      <c r="F162" s="28"/>
      <c r="G162" s="29" t="s">
        <v>51</v>
      </c>
      <c r="H162" s="30" t="s">
        <v>78</v>
      </c>
      <c r="I162" s="28" t="s">
        <v>79</v>
      </c>
      <c r="J162" s="28" t="s">
        <v>58</v>
      </c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28">
        <f t="shared" si="2"/>
        <v>0</v>
      </c>
      <c r="AN162" s="28"/>
    </row>
    <row r="163" spans="1:40">
      <c r="A163" s="28">
        <v>161</v>
      </c>
      <c r="B163" s="29">
        <v>500078</v>
      </c>
      <c r="C163" s="28" t="s">
        <v>82</v>
      </c>
      <c r="D163" s="28"/>
      <c r="E163" s="28">
        <v>20150615</v>
      </c>
      <c r="F163" s="28"/>
      <c r="G163" s="29" t="s">
        <v>51</v>
      </c>
      <c r="H163" s="30" t="s">
        <v>78</v>
      </c>
      <c r="I163" s="28" t="s">
        <v>79</v>
      </c>
      <c r="J163" s="28" t="s">
        <v>54</v>
      </c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28">
        <f t="shared" si="2"/>
        <v>0</v>
      </c>
      <c r="AN163" s="28"/>
    </row>
    <row r="164" spans="1:40">
      <c r="A164" s="28">
        <v>162</v>
      </c>
      <c r="B164" s="29">
        <v>500106</v>
      </c>
      <c r="C164" s="28" t="s">
        <v>84</v>
      </c>
      <c r="D164" s="28"/>
      <c r="E164" s="28">
        <v>20150701</v>
      </c>
      <c r="F164" s="28"/>
      <c r="G164" s="29" t="s">
        <v>51</v>
      </c>
      <c r="H164" s="30" t="s">
        <v>78</v>
      </c>
      <c r="I164" s="28" t="s">
        <v>79</v>
      </c>
      <c r="J164" s="28" t="s">
        <v>54</v>
      </c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>
        <v>1</v>
      </c>
      <c r="W164" s="47"/>
      <c r="X164" s="47">
        <v>1</v>
      </c>
      <c r="Y164" s="47">
        <v>1</v>
      </c>
      <c r="Z164" s="47">
        <v>1</v>
      </c>
      <c r="AA164" s="47">
        <v>1</v>
      </c>
      <c r="AB164" s="47">
        <v>1</v>
      </c>
      <c r="AC164" s="47">
        <v>1</v>
      </c>
      <c r="AD164" s="47"/>
      <c r="AE164" s="47">
        <v>1</v>
      </c>
      <c r="AF164" s="47"/>
      <c r="AG164" s="47"/>
      <c r="AH164" s="47"/>
      <c r="AI164" s="47"/>
      <c r="AJ164" s="47">
        <v>1</v>
      </c>
      <c r="AK164" s="47"/>
      <c r="AL164" s="47">
        <v>1</v>
      </c>
      <c r="AM164" s="28">
        <f t="shared" si="2"/>
        <v>10</v>
      </c>
      <c r="AN164" s="28"/>
    </row>
    <row r="165" spans="1:40">
      <c r="A165" s="28">
        <v>163</v>
      </c>
      <c r="B165" s="29">
        <v>500263</v>
      </c>
      <c r="C165" s="28" t="s">
        <v>105</v>
      </c>
      <c r="D165" s="28"/>
      <c r="E165" s="28">
        <v>20160114</v>
      </c>
      <c r="F165" s="28"/>
      <c r="G165" s="29" t="s">
        <v>51</v>
      </c>
      <c r="H165" s="30" t="s">
        <v>78</v>
      </c>
      <c r="I165" s="28" t="s">
        <v>79</v>
      </c>
      <c r="J165" s="28" t="s">
        <v>54</v>
      </c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28">
        <f t="shared" si="2"/>
        <v>0</v>
      </c>
      <c r="AN165" s="28"/>
    </row>
    <row r="166" spans="1:40">
      <c r="A166" s="28">
        <v>164</v>
      </c>
      <c r="B166" s="29">
        <v>500273</v>
      </c>
      <c r="C166" s="28" t="s">
        <v>106</v>
      </c>
      <c r="D166" s="28"/>
      <c r="E166" s="28">
        <v>20160210</v>
      </c>
      <c r="F166" s="28"/>
      <c r="G166" s="29" t="s">
        <v>51</v>
      </c>
      <c r="H166" s="30" t="s">
        <v>78</v>
      </c>
      <c r="I166" s="28" t="s">
        <v>79</v>
      </c>
      <c r="J166" s="28" t="s">
        <v>54</v>
      </c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28">
        <f t="shared" si="2"/>
        <v>0</v>
      </c>
      <c r="AN166" s="28"/>
    </row>
    <row r="167" spans="1:40">
      <c r="A167" s="28">
        <v>165</v>
      </c>
      <c r="B167" s="29">
        <v>500282</v>
      </c>
      <c r="C167" s="28" t="s">
        <v>108</v>
      </c>
      <c r="D167" s="28"/>
      <c r="E167" s="28">
        <v>20160321</v>
      </c>
      <c r="F167" s="28"/>
      <c r="G167" s="29" t="s">
        <v>51</v>
      </c>
      <c r="H167" s="30" t="s">
        <v>78</v>
      </c>
      <c r="I167" s="28" t="s">
        <v>79</v>
      </c>
      <c r="J167" s="28" t="s">
        <v>54</v>
      </c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28">
        <f t="shared" si="2"/>
        <v>0</v>
      </c>
      <c r="AN167" s="28"/>
    </row>
    <row r="168" spans="1:40">
      <c r="A168" s="28">
        <v>166</v>
      </c>
      <c r="B168" s="29">
        <v>500297</v>
      </c>
      <c r="C168" s="28" t="s">
        <v>110</v>
      </c>
      <c r="D168" s="28"/>
      <c r="E168" s="28">
        <v>20160503</v>
      </c>
      <c r="F168" s="28"/>
      <c r="G168" s="29" t="s">
        <v>51</v>
      </c>
      <c r="H168" s="30" t="s">
        <v>78</v>
      </c>
      <c r="I168" s="28" t="s">
        <v>79</v>
      </c>
      <c r="J168" s="28" t="s">
        <v>54</v>
      </c>
      <c r="K168" s="47">
        <v>1</v>
      </c>
      <c r="L168" s="47"/>
      <c r="M168" s="47">
        <v>1</v>
      </c>
      <c r="N168" s="47">
        <v>1</v>
      </c>
      <c r="O168" s="47">
        <v>1</v>
      </c>
      <c r="P168" s="47">
        <v>1</v>
      </c>
      <c r="Q168" s="47">
        <v>1</v>
      </c>
      <c r="R168" s="47"/>
      <c r="S168" s="47"/>
      <c r="T168" s="47">
        <v>1</v>
      </c>
      <c r="U168" s="47">
        <v>1</v>
      </c>
      <c r="V168" s="47">
        <v>1</v>
      </c>
      <c r="W168" s="47">
        <v>1</v>
      </c>
      <c r="X168" s="47">
        <v>1</v>
      </c>
      <c r="Y168" s="47">
        <v>1</v>
      </c>
      <c r="Z168" s="47"/>
      <c r="AA168" s="47">
        <v>1</v>
      </c>
      <c r="AB168" s="47">
        <v>1</v>
      </c>
      <c r="AC168" s="47">
        <v>1</v>
      </c>
      <c r="AD168" s="47">
        <v>1</v>
      </c>
      <c r="AE168" s="47">
        <v>1</v>
      </c>
      <c r="AF168" s="47">
        <v>1</v>
      </c>
      <c r="AG168" s="47"/>
      <c r="AH168" s="47">
        <v>1</v>
      </c>
      <c r="AI168" s="47">
        <v>1</v>
      </c>
      <c r="AJ168" s="47">
        <v>1</v>
      </c>
      <c r="AK168" s="47">
        <v>1</v>
      </c>
      <c r="AL168" s="47">
        <v>1</v>
      </c>
      <c r="AM168" s="28">
        <f t="shared" si="2"/>
        <v>23</v>
      </c>
      <c r="AN168" s="28"/>
    </row>
    <row r="169" spans="1:40">
      <c r="A169" s="28">
        <v>167</v>
      </c>
      <c r="B169" s="29">
        <v>500300</v>
      </c>
      <c r="C169" s="28" t="s">
        <v>112</v>
      </c>
      <c r="D169" s="28"/>
      <c r="E169" s="28">
        <v>20160503</v>
      </c>
      <c r="F169" s="28"/>
      <c r="G169" s="29" t="s">
        <v>51</v>
      </c>
      <c r="H169" s="30" t="s">
        <v>78</v>
      </c>
      <c r="I169" s="28" t="s">
        <v>79</v>
      </c>
      <c r="J169" s="28" t="s">
        <v>54</v>
      </c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28">
        <f t="shared" si="2"/>
        <v>0</v>
      </c>
      <c r="AN169" s="28"/>
    </row>
    <row r="170" spans="1:40">
      <c r="A170" s="28">
        <v>168</v>
      </c>
      <c r="B170" s="29">
        <v>500423</v>
      </c>
      <c r="C170" s="28" t="s">
        <v>135</v>
      </c>
      <c r="D170" s="28"/>
      <c r="E170" s="28">
        <v>20161201</v>
      </c>
      <c r="F170" s="28"/>
      <c r="G170" s="29" t="s">
        <v>51</v>
      </c>
      <c r="H170" s="30" t="s">
        <v>78</v>
      </c>
      <c r="I170" s="28" t="s">
        <v>79</v>
      </c>
      <c r="J170" s="28" t="s">
        <v>58</v>
      </c>
      <c r="K170" s="47">
        <v>1</v>
      </c>
      <c r="L170" s="47">
        <v>1</v>
      </c>
      <c r="M170" s="47">
        <v>1</v>
      </c>
      <c r="N170" s="47">
        <v>1</v>
      </c>
      <c r="O170" s="47">
        <v>1</v>
      </c>
      <c r="P170" s="47">
        <v>1</v>
      </c>
      <c r="Q170" s="47"/>
      <c r="R170" s="47">
        <v>1</v>
      </c>
      <c r="S170" s="47">
        <v>1</v>
      </c>
      <c r="T170" s="47">
        <v>1</v>
      </c>
      <c r="U170" s="47">
        <v>1</v>
      </c>
      <c r="V170" s="47">
        <v>1</v>
      </c>
      <c r="W170" s="47">
        <v>1</v>
      </c>
      <c r="X170" s="47"/>
      <c r="Y170" s="47">
        <v>1</v>
      </c>
      <c r="Z170" s="47">
        <v>1</v>
      </c>
      <c r="AA170" s="47">
        <v>1</v>
      </c>
      <c r="AB170" s="47">
        <v>1</v>
      </c>
      <c r="AC170" s="47">
        <v>1</v>
      </c>
      <c r="AD170" s="47">
        <v>1</v>
      </c>
      <c r="AE170" s="47"/>
      <c r="AF170" s="47">
        <v>1</v>
      </c>
      <c r="AG170" s="47">
        <v>1</v>
      </c>
      <c r="AH170" s="47">
        <v>1</v>
      </c>
      <c r="AI170" s="47">
        <v>1</v>
      </c>
      <c r="AJ170" s="47">
        <v>1</v>
      </c>
      <c r="AK170" s="47">
        <v>1</v>
      </c>
      <c r="AL170" s="47"/>
      <c r="AM170" s="28">
        <f t="shared" si="2"/>
        <v>24</v>
      </c>
      <c r="AN170" s="28"/>
    </row>
    <row r="171" spans="1:40">
      <c r="A171" s="28">
        <v>169</v>
      </c>
      <c r="B171" s="29">
        <v>500583</v>
      </c>
      <c r="C171" s="28" t="s">
        <v>154</v>
      </c>
      <c r="D171" s="28"/>
      <c r="E171" s="28">
        <v>20170803</v>
      </c>
      <c r="F171" s="28"/>
      <c r="G171" s="29" t="s">
        <v>51</v>
      </c>
      <c r="H171" s="30" t="s">
        <v>78</v>
      </c>
      <c r="I171" s="28" t="s">
        <v>79</v>
      </c>
      <c r="J171" s="28" t="s">
        <v>58</v>
      </c>
      <c r="K171" s="47"/>
      <c r="L171" s="47">
        <v>1</v>
      </c>
      <c r="M171" s="47">
        <v>1</v>
      </c>
      <c r="N171" s="47">
        <v>1</v>
      </c>
      <c r="O171" s="47">
        <v>1</v>
      </c>
      <c r="P171" s="47">
        <v>1</v>
      </c>
      <c r="Q171" s="47">
        <v>1</v>
      </c>
      <c r="R171" s="47"/>
      <c r="S171" s="47">
        <v>1</v>
      </c>
      <c r="T171" s="47">
        <v>1</v>
      </c>
      <c r="U171" s="47">
        <v>1</v>
      </c>
      <c r="V171" s="47"/>
      <c r="W171" s="47"/>
      <c r="X171" s="47"/>
      <c r="Y171" s="47"/>
      <c r="Z171" s="47"/>
      <c r="AA171" s="47"/>
      <c r="AB171" s="47">
        <v>1</v>
      </c>
      <c r="AC171" s="47">
        <v>1</v>
      </c>
      <c r="AD171" s="47">
        <v>1</v>
      </c>
      <c r="AE171" s="47">
        <v>1</v>
      </c>
      <c r="AF171" s="47"/>
      <c r="AG171" s="47">
        <v>1</v>
      </c>
      <c r="AH171" s="47">
        <v>1</v>
      </c>
      <c r="AI171" s="47">
        <v>1</v>
      </c>
      <c r="AJ171" s="47">
        <v>1</v>
      </c>
      <c r="AK171" s="47">
        <v>1</v>
      </c>
      <c r="AL171" s="47">
        <v>1</v>
      </c>
      <c r="AM171" s="28">
        <f t="shared" si="2"/>
        <v>19</v>
      </c>
      <c r="AN171" s="28"/>
    </row>
    <row r="172" spans="1:40">
      <c r="A172" s="28">
        <v>170</v>
      </c>
      <c r="B172" s="29">
        <v>500678</v>
      </c>
      <c r="C172" s="28" t="s">
        <v>157</v>
      </c>
      <c r="D172" s="28"/>
      <c r="E172" s="28">
        <v>20180116</v>
      </c>
      <c r="F172" s="28"/>
      <c r="G172" s="29" t="s">
        <v>51</v>
      </c>
      <c r="H172" s="30" t="s">
        <v>78</v>
      </c>
      <c r="I172" s="28" t="s">
        <v>79</v>
      </c>
      <c r="J172" s="28" t="s">
        <v>58</v>
      </c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28">
        <f t="shared" si="2"/>
        <v>0</v>
      </c>
      <c r="AN172" s="28"/>
    </row>
    <row r="173" spans="1:40">
      <c r="A173" s="28">
        <v>171</v>
      </c>
      <c r="B173" s="29">
        <v>501220</v>
      </c>
      <c r="C173" s="28" t="s">
        <v>216</v>
      </c>
      <c r="D173" s="28"/>
      <c r="E173" s="28">
        <v>20240604</v>
      </c>
      <c r="F173" s="28"/>
      <c r="G173" s="29" t="s">
        <v>51</v>
      </c>
      <c r="H173" s="30" t="s">
        <v>78</v>
      </c>
      <c r="I173" s="28" t="s">
        <v>79</v>
      </c>
      <c r="J173" s="28" t="s">
        <v>58</v>
      </c>
      <c r="K173" s="47">
        <v>1</v>
      </c>
      <c r="L173" s="47">
        <v>1</v>
      </c>
      <c r="M173" s="47">
        <v>1</v>
      </c>
      <c r="N173" s="47">
        <v>1</v>
      </c>
      <c r="O173" s="47"/>
      <c r="P173" s="47">
        <v>1</v>
      </c>
      <c r="Q173" s="47">
        <v>1</v>
      </c>
      <c r="R173" s="47">
        <v>1</v>
      </c>
      <c r="S173" s="47">
        <v>1</v>
      </c>
      <c r="T173" s="47">
        <v>1</v>
      </c>
      <c r="U173" s="47">
        <v>1</v>
      </c>
      <c r="V173" s="47"/>
      <c r="W173" s="47">
        <v>1</v>
      </c>
      <c r="X173" s="47">
        <v>1</v>
      </c>
      <c r="Y173" s="47"/>
      <c r="Z173" s="47">
        <v>1</v>
      </c>
      <c r="AA173" s="47">
        <v>1</v>
      </c>
      <c r="AB173" s="47">
        <v>1</v>
      </c>
      <c r="AC173" s="47"/>
      <c r="AD173" s="47">
        <v>1</v>
      </c>
      <c r="AE173" s="47">
        <v>1</v>
      </c>
      <c r="AF173" s="47">
        <v>1</v>
      </c>
      <c r="AG173" s="47"/>
      <c r="AH173" s="47">
        <v>1</v>
      </c>
      <c r="AI173" s="47">
        <v>1</v>
      </c>
      <c r="AJ173" s="47"/>
      <c r="AK173" s="47">
        <v>1</v>
      </c>
      <c r="AL173" s="47">
        <v>1</v>
      </c>
      <c r="AM173" s="28">
        <f t="shared" si="2"/>
        <v>22</v>
      </c>
      <c r="AN173" s="28"/>
    </row>
    <row r="174" spans="1:40">
      <c r="A174" s="28">
        <v>172</v>
      </c>
      <c r="B174" s="29">
        <v>501234</v>
      </c>
      <c r="C174" s="28" t="s">
        <v>221</v>
      </c>
      <c r="D174" s="28"/>
      <c r="E174" s="28">
        <v>20240716</v>
      </c>
      <c r="F174" s="28"/>
      <c r="G174" s="29" t="s">
        <v>51</v>
      </c>
      <c r="H174" s="30" t="s">
        <v>78</v>
      </c>
      <c r="I174" s="28" t="s">
        <v>79</v>
      </c>
      <c r="J174" s="28" t="s">
        <v>58</v>
      </c>
      <c r="K174" s="47">
        <v>1</v>
      </c>
      <c r="L174" s="47"/>
      <c r="M174" s="47">
        <v>1</v>
      </c>
      <c r="N174" s="47">
        <v>1</v>
      </c>
      <c r="O174" s="47">
        <v>1</v>
      </c>
      <c r="P174" s="47">
        <v>1</v>
      </c>
      <c r="Q174" s="47"/>
      <c r="R174" s="47">
        <v>1</v>
      </c>
      <c r="S174" s="47"/>
      <c r="T174" s="47">
        <v>1</v>
      </c>
      <c r="U174" s="47">
        <v>1</v>
      </c>
      <c r="V174" s="47"/>
      <c r="W174" s="47"/>
      <c r="X174" s="47"/>
      <c r="Y174" s="47"/>
      <c r="Z174" s="47"/>
      <c r="AA174" s="47"/>
      <c r="AB174" s="47">
        <v>1</v>
      </c>
      <c r="AC174" s="47">
        <v>1</v>
      </c>
      <c r="AD174" s="47">
        <v>1</v>
      </c>
      <c r="AE174" s="47">
        <v>1</v>
      </c>
      <c r="AF174" s="47">
        <v>1</v>
      </c>
      <c r="AG174" s="47"/>
      <c r="AH174" s="47">
        <v>1</v>
      </c>
      <c r="AI174" s="47"/>
      <c r="AJ174" s="47">
        <v>1</v>
      </c>
      <c r="AK174" s="47">
        <v>1</v>
      </c>
      <c r="AL174" s="47">
        <v>1</v>
      </c>
      <c r="AM174" s="28">
        <f t="shared" si="2"/>
        <v>17</v>
      </c>
      <c r="AN174" s="28"/>
    </row>
    <row r="175" spans="1:40">
      <c r="A175" s="28">
        <v>173</v>
      </c>
      <c r="B175" s="29">
        <v>501241</v>
      </c>
      <c r="C175" s="28" t="s">
        <v>226</v>
      </c>
      <c r="D175" s="28"/>
      <c r="E175" s="28">
        <v>20240829</v>
      </c>
      <c r="F175" s="28"/>
      <c r="G175" s="29" t="s">
        <v>51</v>
      </c>
      <c r="H175" s="30" t="s">
        <v>78</v>
      </c>
      <c r="I175" s="28" t="s">
        <v>79</v>
      </c>
      <c r="J175" s="28" t="s">
        <v>54</v>
      </c>
      <c r="K175" s="47">
        <v>1</v>
      </c>
      <c r="L175" s="47">
        <v>1</v>
      </c>
      <c r="M175" s="47">
        <v>1</v>
      </c>
      <c r="N175" s="47"/>
      <c r="O175" s="47">
        <v>1</v>
      </c>
      <c r="P175" s="47">
        <v>1</v>
      </c>
      <c r="Q175" s="47">
        <v>1</v>
      </c>
      <c r="R175" s="47">
        <v>1</v>
      </c>
      <c r="S175" s="47">
        <v>1</v>
      </c>
      <c r="T175" s="47">
        <v>1</v>
      </c>
      <c r="U175" s="47"/>
      <c r="V175" s="47">
        <v>1</v>
      </c>
      <c r="W175" s="47">
        <v>1</v>
      </c>
      <c r="X175" s="47">
        <v>1</v>
      </c>
      <c r="Y175" s="47">
        <v>1</v>
      </c>
      <c r="Z175" s="47">
        <v>1</v>
      </c>
      <c r="AA175" s="47">
        <v>1</v>
      </c>
      <c r="AB175" s="47"/>
      <c r="AC175" s="47">
        <v>1</v>
      </c>
      <c r="AD175" s="47"/>
      <c r="AE175" s="47">
        <v>1</v>
      </c>
      <c r="AF175" s="47">
        <v>1</v>
      </c>
      <c r="AG175" s="47">
        <v>1</v>
      </c>
      <c r="AH175" s="47">
        <v>1</v>
      </c>
      <c r="AI175" s="47"/>
      <c r="AJ175" s="47">
        <v>1</v>
      </c>
      <c r="AK175" s="47">
        <v>1</v>
      </c>
      <c r="AL175" s="47">
        <v>1</v>
      </c>
      <c r="AM175" s="28">
        <f t="shared" si="2"/>
        <v>23</v>
      </c>
      <c r="AN175" s="28"/>
    </row>
    <row r="176" spans="1:40">
      <c r="A176" s="28">
        <v>174</v>
      </c>
      <c r="B176" s="29">
        <v>501244</v>
      </c>
      <c r="C176" s="28" t="s">
        <v>227</v>
      </c>
      <c r="D176" s="28"/>
      <c r="E176" s="28">
        <v>20240909</v>
      </c>
      <c r="F176" s="28"/>
      <c r="G176" s="29" t="s">
        <v>51</v>
      </c>
      <c r="H176" s="30" t="s">
        <v>78</v>
      </c>
      <c r="I176" s="28" t="s">
        <v>79</v>
      </c>
      <c r="J176" s="28" t="s">
        <v>54</v>
      </c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28">
        <f t="shared" si="2"/>
        <v>0</v>
      </c>
      <c r="AN176" s="28"/>
    </row>
    <row r="177" spans="1:40">
      <c r="A177" s="28">
        <v>175</v>
      </c>
      <c r="B177" s="29">
        <v>501249</v>
      </c>
      <c r="C177" s="28" t="s">
        <v>231</v>
      </c>
      <c r="D177" s="28"/>
      <c r="E177" s="28">
        <v>20241010</v>
      </c>
      <c r="F177" s="28"/>
      <c r="G177" s="29" t="s">
        <v>51</v>
      </c>
      <c r="H177" s="30" t="s">
        <v>78</v>
      </c>
      <c r="I177" s="28" t="s">
        <v>79</v>
      </c>
      <c r="J177" s="28" t="s">
        <v>58</v>
      </c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28">
        <f t="shared" si="2"/>
        <v>0</v>
      </c>
      <c r="AN177" s="28"/>
    </row>
    <row r="178" spans="1:40">
      <c r="A178" s="28">
        <v>176</v>
      </c>
      <c r="B178" s="29">
        <v>501268</v>
      </c>
      <c r="C178" s="28" t="s">
        <v>243</v>
      </c>
      <c r="D178" s="28"/>
      <c r="E178" s="28">
        <v>20250310</v>
      </c>
      <c r="F178" s="28"/>
      <c r="G178" s="29" t="s">
        <v>51</v>
      </c>
      <c r="H178" s="30" t="s">
        <v>78</v>
      </c>
      <c r="I178" s="28" t="s">
        <v>79</v>
      </c>
      <c r="J178" s="28" t="s">
        <v>58</v>
      </c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28">
        <f t="shared" si="2"/>
        <v>0</v>
      </c>
      <c r="AN178" s="28"/>
    </row>
    <row r="179" spans="1:40">
      <c r="A179" s="28">
        <v>177</v>
      </c>
      <c r="B179" s="29">
        <v>501276</v>
      </c>
      <c r="C179" s="28" t="s">
        <v>249</v>
      </c>
      <c r="D179" s="28"/>
      <c r="E179" s="28">
        <v>20250502</v>
      </c>
      <c r="F179" s="28"/>
      <c r="G179" s="29" t="s">
        <v>51</v>
      </c>
      <c r="H179" s="30" t="s">
        <v>78</v>
      </c>
      <c r="I179" s="28" t="s">
        <v>79</v>
      </c>
      <c r="J179" s="28" t="s">
        <v>58</v>
      </c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28">
        <f t="shared" si="2"/>
        <v>0</v>
      </c>
      <c r="AN179" s="28"/>
    </row>
    <row r="180" spans="1:40">
      <c r="A180" s="28">
        <v>178</v>
      </c>
      <c r="B180" s="29">
        <v>501281</v>
      </c>
      <c r="C180" s="28" t="s">
        <v>253</v>
      </c>
      <c r="D180" s="28"/>
      <c r="E180" s="28">
        <v>20250508</v>
      </c>
      <c r="F180" s="28"/>
      <c r="G180" s="29" t="s">
        <v>51</v>
      </c>
      <c r="H180" s="30" t="s">
        <v>78</v>
      </c>
      <c r="I180" s="28" t="s">
        <v>79</v>
      </c>
      <c r="J180" s="28" t="s">
        <v>58</v>
      </c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28">
        <f t="shared" si="2"/>
        <v>0</v>
      </c>
      <c r="AN180" s="28"/>
    </row>
    <row r="181" spans="1:40">
      <c r="A181" s="28">
        <v>179</v>
      </c>
      <c r="B181" s="29">
        <v>501303</v>
      </c>
      <c r="C181" s="28" t="s">
        <v>265</v>
      </c>
      <c r="D181" s="28"/>
      <c r="E181" s="28">
        <v>20251028</v>
      </c>
      <c r="F181" s="28"/>
      <c r="G181" s="29" t="s">
        <v>51</v>
      </c>
      <c r="H181" s="30" t="s">
        <v>78</v>
      </c>
      <c r="I181" s="28" t="s">
        <v>79</v>
      </c>
      <c r="J181" s="28" t="s">
        <v>58</v>
      </c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28">
        <f t="shared" si="2"/>
        <v>0</v>
      </c>
      <c r="AN181" s="28"/>
    </row>
    <row r="182" spans="1:40">
      <c r="A182" s="28">
        <v>180</v>
      </c>
      <c r="B182" s="29">
        <v>501314</v>
      </c>
      <c r="C182" s="28" t="s">
        <v>275</v>
      </c>
      <c r="D182" s="28"/>
      <c r="E182" s="28">
        <v>20260105</v>
      </c>
      <c r="F182" s="28"/>
      <c r="G182" s="29" t="s">
        <v>51</v>
      </c>
      <c r="H182" s="30" t="s">
        <v>78</v>
      </c>
      <c r="I182" s="28" t="s">
        <v>79</v>
      </c>
      <c r="J182" s="28" t="s">
        <v>58</v>
      </c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28">
        <f t="shared" si="2"/>
        <v>0</v>
      </c>
      <c r="AN182" s="28"/>
    </row>
    <row r="183" spans="1:40">
      <c r="A183" s="28">
        <v>181</v>
      </c>
      <c r="B183" s="29">
        <v>500383</v>
      </c>
      <c r="C183" s="28" t="s">
        <v>127</v>
      </c>
      <c r="D183" s="28"/>
      <c r="E183" s="28">
        <v>20161003</v>
      </c>
      <c r="F183" s="28"/>
      <c r="G183" s="29" t="s">
        <v>51</v>
      </c>
      <c r="H183" s="30" t="s">
        <v>128</v>
      </c>
      <c r="I183" s="28" t="s">
        <v>129</v>
      </c>
      <c r="J183" s="28" t="s">
        <v>58</v>
      </c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28">
        <f t="shared" si="2"/>
        <v>0</v>
      </c>
      <c r="AN183" s="28"/>
    </row>
    <row r="184" spans="1:40">
      <c r="A184" s="28">
        <v>182</v>
      </c>
      <c r="B184" s="29">
        <v>500429</v>
      </c>
      <c r="C184" s="28" t="s">
        <v>136</v>
      </c>
      <c r="D184" s="28"/>
      <c r="E184" s="28">
        <v>20161208</v>
      </c>
      <c r="F184" s="28"/>
      <c r="G184" s="29" t="s">
        <v>51</v>
      </c>
      <c r="H184" s="30" t="s">
        <v>128</v>
      </c>
      <c r="I184" s="28" t="s">
        <v>129</v>
      </c>
      <c r="J184" s="28" t="s">
        <v>58</v>
      </c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28">
        <f t="shared" si="2"/>
        <v>0</v>
      </c>
      <c r="AN184" s="28"/>
    </row>
    <row r="185" spans="1:40">
      <c r="A185" s="28">
        <v>183</v>
      </c>
      <c r="B185" s="29">
        <v>500502</v>
      </c>
      <c r="C185" s="28" t="s">
        <v>142</v>
      </c>
      <c r="D185" s="28"/>
      <c r="E185" s="28">
        <v>20170314</v>
      </c>
      <c r="F185" s="28"/>
      <c r="G185" s="29" t="s">
        <v>51</v>
      </c>
      <c r="H185" s="30" t="s">
        <v>128</v>
      </c>
      <c r="I185" s="28" t="s">
        <v>129</v>
      </c>
      <c r="J185" s="28" t="s">
        <v>58</v>
      </c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28">
        <f t="shared" si="2"/>
        <v>0</v>
      </c>
      <c r="AN185" s="28"/>
    </row>
    <row r="186" spans="1:40">
      <c r="A186" s="28">
        <v>184</v>
      </c>
      <c r="B186" s="29">
        <v>500504</v>
      </c>
      <c r="C186" s="28" t="s">
        <v>143</v>
      </c>
      <c r="D186" s="28"/>
      <c r="E186" s="28">
        <v>20170314</v>
      </c>
      <c r="F186" s="28"/>
      <c r="G186" s="29" t="s">
        <v>51</v>
      </c>
      <c r="H186" s="30" t="s">
        <v>128</v>
      </c>
      <c r="I186" s="28" t="s">
        <v>129</v>
      </c>
      <c r="J186" s="28" t="s">
        <v>58</v>
      </c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28">
        <f t="shared" si="2"/>
        <v>0</v>
      </c>
      <c r="AN186" s="28"/>
    </row>
    <row r="187" spans="1:40">
      <c r="A187" s="28">
        <v>185</v>
      </c>
      <c r="B187" s="29">
        <v>500534</v>
      </c>
      <c r="C187" s="28" t="s">
        <v>150</v>
      </c>
      <c r="D187" s="28"/>
      <c r="E187" s="28">
        <v>20170511</v>
      </c>
      <c r="F187" s="28"/>
      <c r="G187" s="29" t="s">
        <v>51</v>
      </c>
      <c r="H187" s="30" t="s">
        <v>128</v>
      </c>
      <c r="I187" s="28" t="s">
        <v>129</v>
      </c>
      <c r="J187" s="28" t="s">
        <v>58</v>
      </c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28">
        <f t="shared" si="2"/>
        <v>0</v>
      </c>
      <c r="AN187" s="28"/>
    </row>
    <row r="188" spans="1:40">
      <c r="A188" s="28">
        <v>186</v>
      </c>
      <c r="B188" s="29">
        <v>500590</v>
      </c>
      <c r="C188" s="28" t="s">
        <v>155</v>
      </c>
      <c r="D188" s="28"/>
      <c r="E188" s="28">
        <v>20170803</v>
      </c>
      <c r="F188" s="28"/>
      <c r="G188" s="29" t="s">
        <v>51</v>
      </c>
      <c r="H188" s="30" t="s">
        <v>128</v>
      </c>
      <c r="I188" s="28" t="s">
        <v>129</v>
      </c>
      <c r="J188" s="28" t="s">
        <v>58</v>
      </c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28">
        <f t="shared" si="2"/>
        <v>0</v>
      </c>
      <c r="AN188" s="28"/>
    </row>
    <row r="189" spans="1:40">
      <c r="A189" s="28">
        <v>187</v>
      </c>
      <c r="B189" s="29">
        <v>500772</v>
      </c>
      <c r="C189" s="28" t="s">
        <v>166</v>
      </c>
      <c r="D189" s="28"/>
      <c r="E189" s="28">
        <v>20180710</v>
      </c>
      <c r="F189" s="28"/>
      <c r="G189" s="29" t="s">
        <v>51</v>
      </c>
      <c r="H189" s="30" t="s">
        <v>128</v>
      </c>
      <c r="I189" s="28" t="s">
        <v>129</v>
      </c>
      <c r="J189" s="28" t="s">
        <v>58</v>
      </c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28">
        <f t="shared" si="2"/>
        <v>0</v>
      </c>
      <c r="AN189" s="28"/>
    </row>
    <row r="190" spans="1:40">
      <c r="A190" s="28">
        <v>188</v>
      </c>
      <c r="B190" s="29">
        <v>500825</v>
      </c>
      <c r="C190" s="28" t="s">
        <v>173</v>
      </c>
      <c r="D190" s="28"/>
      <c r="E190" s="28">
        <v>20181211</v>
      </c>
      <c r="F190" s="28"/>
      <c r="G190" s="29" t="s">
        <v>51</v>
      </c>
      <c r="H190" s="30" t="s">
        <v>128</v>
      </c>
      <c r="I190" s="28" t="s">
        <v>129</v>
      </c>
      <c r="J190" s="28" t="s">
        <v>58</v>
      </c>
      <c r="K190" s="47">
        <v>1</v>
      </c>
      <c r="L190" s="47">
        <v>1</v>
      </c>
      <c r="M190" s="47">
        <v>1</v>
      </c>
      <c r="N190" s="47">
        <v>1</v>
      </c>
      <c r="O190" s="47">
        <v>1</v>
      </c>
      <c r="P190" s="47">
        <v>1</v>
      </c>
      <c r="Q190" s="47"/>
      <c r="R190" s="47">
        <v>1</v>
      </c>
      <c r="S190" s="47">
        <v>1</v>
      </c>
      <c r="T190" s="47">
        <v>1</v>
      </c>
      <c r="U190" s="47">
        <v>1</v>
      </c>
      <c r="V190" s="47">
        <v>1</v>
      </c>
      <c r="W190" s="47">
        <v>1</v>
      </c>
      <c r="X190" s="47"/>
      <c r="Y190" s="47">
        <v>1</v>
      </c>
      <c r="Z190" s="47">
        <v>1</v>
      </c>
      <c r="AA190" s="47">
        <v>1</v>
      </c>
      <c r="AB190" s="47">
        <v>1</v>
      </c>
      <c r="AC190" s="47">
        <v>1</v>
      </c>
      <c r="AD190" s="47">
        <v>1</v>
      </c>
      <c r="AE190" s="47"/>
      <c r="AF190" s="47">
        <v>1</v>
      </c>
      <c r="AG190" s="47">
        <v>1</v>
      </c>
      <c r="AH190" s="47">
        <v>1</v>
      </c>
      <c r="AI190" s="47">
        <v>1</v>
      </c>
      <c r="AJ190" s="47">
        <v>1</v>
      </c>
      <c r="AK190" s="47">
        <v>1</v>
      </c>
      <c r="AL190" s="47"/>
      <c r="AM190" s="28">
        <f t="shared" si="2"/>
        <v>24</v>
      </c>
      <c r="AN190" s="28"/>
    </row>
    <row r="191" spans="1:40">
      <c r="A191" s="28">
        <v>189</v>
      </c>
      <c r="B191" s="29">
        <v>501274</v>
      </c>
      <c r="C191" s="28" t="s">
        <v>247</v>
      </c>
      <c r="D191" s="28"/>
      <c r="E191" s="28">
        <v>20250423</v>
      </c>
      <c r="F191" s="28"/>
      <c r="G191" s="29" t="s">
        <v>51</v>
      </c>
      <c r="H191" s="30" t="s">
        <v>128</v>
      </c>
      <c r="I191" s="28" t="s">
        <v>129</v>
      </c>
      <c r="J191" s="28" t="s">
        <v>58</v>
      </c>
      <c r="K191" s="47"/>
      <c r="L191" s="47">
        <v>1</v>
      </c>
      <c r="M191" s="47">
        <v>1</v>
      </c>
      <c r="N191" s="47">
        <v>1</v>
      </c>
      <c r="O191" s="47">
        <v>1</v>
      </c>
      <c r="P191" s="47">
        <v>1</v>
      </c>
      <c r="Q191" s="47">
        <v>1</v>
      </c>
      <c r="R191" s="47"/>
      <c r="S191" s="47">
        <v>1</v>
      </c>
      <c r="T191" s="47">
        <v>1</v>
      </c>
      <c r="U191" s="47">
        <v>1</v>
      </c>
      <c r="V191" s="47">
        <v>1</v>
      </c>
      <c r="W191" s="47">
        <v>1</v>
      </c>
      <c r="X191" s="47">
        <v>1</v>
      </c>
      <c r="Y191" s="47"/>
      <c r="Z191" s="47">
        <v>1</v>
      </c>
      <c r="AA191" s="47">
        <v>1</v>
      </c>
      <c r="AB191" s="47">
        <v>1</v>
      </c>
      <c r="AC191" s="47">
        <v>1</v>
      </c>
      <c r="AD191" s="47">
        <v>1</v>
      </c>
      <c r="AE191" s="47">
        <v>1</v>
      </c>
      <c r="AF191" s="47"/>
      <c r="AG191" s="47">
        <v>1</v>
      </c>
      <c r="AH191" s="47">
        <v>1</v>
      </c>
      <c r="AI191" s="47">
        <v>1</v>
      </c>
      <c r="AJ191" s="47">
        <v>1</v>
      </c>
      <c r="AK191" s="47">
        <v>1</v>
      </c>
      <c r="AL191" s="47">
        <v>1</v>
      </c>
      <c r="AM191" s="28">
        <f t="shared" si="2"/>
        <v>24</v>
      </c>
      <c r="AN191" s="28"/>
    </row>
    <row r="192" spans="1:40">
      <c r="A192" s="28">
        <v>190</v>
      </c>
      <c r="B192" s="29">
        <v>501286</v>
      </c>
      <c r="C192" s="28" t="s">
        <v>257</v>
      </c>
      <c r="D192" s="28"/>
      <c r="E192" s="28">
        <v>20250605</v>
      </c>
      <c r="F192" s="28"/>
      <c r="G192" s="29" t="s">
        <v>51</v>
      </c>
      <c r="H192" s="30" t="s">
        <v>128</v>
      </c>
      <c r="I192" s="28" t="s">
        <v>129</v>
      </c>
      <c r="J192" s="28" t="s">
        <v>58</v>
      </c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28">
        <f t="shared" si="2"/>
        <v>0</v>
      </c>
      <c r="AN192" s="28"/>
    </row>
    <row r="193" spans="1:40">
      <c r="A193" s="28">
        <v>191</v>
      </c>
      <c r="B193" s="29">
        <v>501305</v>
      </c>
      <c r="C193" s="28" t="s">
        <v>267</v>
      </c>
      <c r="D193" s="28"/>
      <c r="E193" s="28">
        <v>20251106</v>
      </c>
      <c r="F193" s="28"/>
      <c r="G193" s="29" t="s">
        <v>51</v>
      </c>
      <c r="H193" s="30" t="s">
        <v>128</v>
      </c>
      <c r="I193" s="28" t="s">
        <v>129</v>
      </c>
      <c r="J193" s="28" t="s">
        <v>58</v>
      </c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28">
        <f t="shared" si="2"/>
        <v>0</v>
      </c>
      <c r="AN193" s="28"/>
    </row>
    <row r="194" spans="1:40">
      <c r="A194" s="28">
        <v>192</v>
      </c>
      <c r="B194" s="29">
        <v>501306</v>
      </c>
      <c r="C194" s="28" t="s">
        <v>268</v>
      </c>
      <c r="D194" s="28"/>
      <c r="E194" s="28">
        <v>20251106</v>
      </c>
      <c r="F194" s="28"/>
      <c r="G194" s="29" t="s">
        <v>51</v>
      </c>
      <c r="H194" s="30" t="s">
        <v>128</v>
      </c>
      <c r="I194" s="28" t="s">
        <v>129</v>
      </c>
      <c r="J194" s="28" t="s">
        <v>58</v>
      </c>
      <c r="K194" s="47">
        <v>1</v>
      </c>
      <c r="L194" s="47">
        <v>1</v>
      </c>
      <c r="M194" s="47"/>
      <c r="N194" s="47">
        <v>1</v>
      </c>
      <c r="O194" s="47">
        <v>1</v>
      </c>
      <c r="P194" s="47">
        <v>1</v>
      </c>
      <c r="Q194" s="47">
        <v>1</v>
      </c>
      <c r="R194" s="47">
        <v>1</v>
      </c>
      <c r="S194" s="47">
        <v>1</v>
      </c>
      <c r="T194" s="47"/>
      <c r="U194" s="47">
        <v>1</v>
      </c>
      <c r="V194" s="47">
        <v>1</v>
      </c>
      <c r="W194" s="47">
        <v>1</v>
      </c>
      <c r="X194" s="47">
        <v>1</v>
      </c>
      <c r="Y194" s="47">
        <v>1</v>
      </c>
      <c r="Z194" s="47">
        <v>1</v>
      </c>
      <c r="AA194" s="47"/>
      <c r="AB194" s="47">
        <v>1</v>
      </c>
      <c r="AC194" s="47">
        <v>1</v>
      </c>
      <c r="AD194" s="47">
        <v>1</v>
      </c>
      <c r="AE194" s="47">
        <v>1</v>
      </c>
      <c r="AF194" s="47">
        <v>1</v>
      </c>
      <c r="AG194" s="47">
        <v>1</v>
      </c>
      <c r="AH194" s="47"/>
      <c r="AI194" s="47">
        <v>1</v>
      </c>
      <c r="AJ194" s="47">
        <v>1</v>
      </c>
      <c r="AK194" s="47">
        <v>1</v>
      </c>
      <c r="AL194" s="47">
        <v>1</v>
      </c>
      <c r="AM194" s="28">
        <f t="shared" si="2"/>
        <v>24</v>
      </c>
      <c r="AN194" s="28"/>
    </row>
    <row r="195" spans="1:40">
      <c r="A195" s="28">
        <v>193</v>
      </c>
      <c r="B195" s="29">
        <v>501318</v>
      </c>
      <c r="C195" s="28" t="s">
        <v>420</v>
      </c>
      <c r="D195" s="28"/>
      <c r="E195" s="28">
        <v>20260226</v>
      </c>
      <c r="F195" s="28"/>
      <c r="G195" s="29" t="s">
        <v>51</v>
      </c>
      <c r="H195" s="30" t="s">
        <v>128</v>
      </c>
      <c r="I195" s="28" t="s">
        <v>129</v>
      </c>
      <c r="J195" s="28" t="s">
        <v>58</v>
      </c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>
        <f t="shared" ref="AM195:AM202" si="3">SUM(K195:AL195)</f>
        <v>0</v>
      </c>
      <c r="AN195" s="28"/>
    </row>
    <row r="196" spans="1:40">
      <c r="A196" s="28">
        <v>194</v>
      </c>
      <c r="B196" s="29">
        <v>100525</v>
      </c>
      <c r="C196" s="28" t="s">
        <v>50</v>
      </c>
      <c r="D196" s="28"/>
      <c r="E196" s="28">
        <v>20150706</v>
      </c>
      <c r="F196" s="28"/>
      <c r="G196" s="29" t="s">
        <v>51</v>
      </c>
      <c r="H196" s="30" t="s">
        <v>52</v>
      </c>
      <c r="I196" s="28" t="s">
        <v>53</v>
      </c>
      <c r="J196" s="28" t="s">
        <v>54</v>
      </c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28">
        <f t="shared" si="3"/>
        <v>0</v>
      </c>
      <c r="AN196" s="28"/>
    </row>
    <row r="197" spans="1:40">
      <c r="A197" s="28">
        <v>195</v>
      </c>
      <c r="B197" s="29">
        <v>500368</v>
      </c>
      <c r="C197" s="28" t="s">
        <v>124</v>
      </c>
      <c r="D197" s="28"/>
      <c r="E197" s="28">
        <v>20160906</v>
      </c>
      <c r="F197" s="28"/>
      <c r="G197" s="29" t="s">
        <v>51</v>
      </c>
      <c r="H197" s="30" t="s">
        <v>52</v>
      </c>
      <c r="I197" s="28" t="s">
        <v>53</v>
      </c>
      <c r="J197" s="28" t="s">
        <v>54</v>
      </c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28">
        <f t="shared" si="3"/>
        <v>0</v>
      </c>
      <c r="AN197" s="28"/>
    </row>
    <row r="198" spans="1:40">
      <c r="A198" s="28">
        <v>196</v>
      </c>
      <c r="B198" s="29">
        <v>500372</v>
      </c>
      <c r="C198" s="28" t="s">
        <v>125</v>
      </c>
      <c r="D198" s="28"/>
      <c r="E198" s="28">
        <v>20160915</v>
      </c>
      <c r="F198" s="28"/>
      <c r="G198" s="29" t="s">
        <v>51</v>
      </c>
      <c r="H198" s="30" t="s">
        <v>52</v>
      </c>
      <c r="I198" s="28" t="s">
        <v>53</v>
      </c>
      <c r="J198" s="28" t="s">
        <v>54</v>
      </c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28">
        <f t="shared" si="3"/>
        <v>0</v>
      </c>
      <c r="AN198" s="28"/>
    </row>
    <row r="199" spans="1:40">
      <c r="A199" s="28">
        <v>197</v>
      </c>
      <c r="B199" s="29">
        <v>500776</v>
      </c>
      <c r="C199" s="28" t="s">
        <v>167</v>
      </c>
      <c r="D199" s="28"/>
      <c r="E199" s="28">
        <v>20180710</v>
      </c>
      <c r="F199" s="28"/>
      <c r="G199" s="29" t="s">
        <v>51</v>
      </c>
      <c r="H199" s="30" t="s">
        <v>52</v>
      </c>
      <c r="I199" s="28" t="s">
        <v>53</v>
      </c>
      <c r="J199" s="28" t="s">
        <v>54</v>
      </c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28">
        <f t="shared" si="3"/>
        <v>0</v>
      </c>
      <c r="AN199" s="28"/>
    </row>
    <row r="200" spans="1:40">
      <c r="A200" s="28">
        <v>198</v>
      </c>
      <c r="B200" s="29">
        <v>500830</v>
      </c>
      <c r="C200" s="28" t="s">
        <v>83</v>
      </c>
      <c r="D200" s="28"/>
      <c r="E200" s="28">
        <v>20190108</v>
      </c>
      <c r="F200" s="28"/>
      <c r="G200" s="29" t="s">
        <v>51</v>
      </c>
      <c r="H200" s="30" t="s">
        <v>52</v>
      </c>
      <c r="I200" s="28" t="s">
        <v>53</v>
      </c>
      <c r="J200" s="28" t="s">
        <v>54</v>
      </c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28">
        <f t="shared" si="3"/>
        <v>0</v>
      </c>
      <c r="AN200" s="28"/>
    </row>
    <row r="201" spans="1:40">
      <c r="A201" s="28">
        <v>199</v>
      </c>
      <c r="B201" s="29">
        <v>500247</v>
      </c>
      <c r="C201" s="28" t="s">
        <v>276</v>
      </c>
      <c r="D201" s="28"/>
      <c r="E201" s="28">
        <v>20151229</v>
      </c>
      <c r="F201" s="28"/>
      <c r="G201" s="29" t="s">
        <v>277</v>
      </c>
      <c r="H201" s="28" t="s">
        <v>278</v>
      </c>
      <c r="I201" s="28" t="s">
        <v>279</v>
      </c>
      <c r="J201" s="28" t="s">
        <v>54</v>
      </c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28">
        <f t="shared" si="3"/>
        <v>0</v>
      </c>
      <c r="AN201" s="28"/>
    </row>
    <row r="202" spans="1:40">
      <c r="A202" s="28">
        <v>200</v>
      </c>
      <c r="B202" s="29">
        <v>501313</v>
      </c>
      <c r="C202" s="28" t="s">
        <v>280</v>
      </c>
      <c r="D202" s="28"/>
      <c r="E202" s="28">
        <v>20251121</v>
      </c>
      <c r="F202" s="28"/>
      <c r="G202" s="29" t="s">
        <v>277</v>
      </c>
      <c r="H202" s="28" t="s">
        <v>281</v>
      </c>
      <c r="I202" s="28" t="s">
        <v>282</v>
      </c>
      <c r="J202" s="28" t="s">
        <v>54</v>
      </c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28">
        <f t="shared" si="3"/>
        <v>0</v>
      </c>
      <c r="AN202" s="28"/>
    </row>
    <row r="203" spans="1:40">
      <c r="A203" s="28">
        <v>201</v>
      </c>
      <c r="B203" s="29">
        <v>100086</v>
      </c>
      <c r="C203" s="28" t="s">
        <v>284</v>
      </c>
      <c r="D203" s="28"/>
      <c r="E203" s="28">
        <v>20150305</v>
      </c>
      <c r="F203" s="28"/>
      <c r="G203" s="29" t="s">
        <v>283</v>
      </c>
      <c r="H203" s="28" t="s">
        <v>285</v>
      </c>
      <c r="I203" s="28" t="s">
        <v>286</v>
      </c>
      <c r="J203" s="28" t="s">
        <v>58</v>
      </c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28">
        <f t="shared" ref="AM203:AM248" si="4">SUM(K203:AL203)</f>
        <v>0</v>
      </c>
      <c r="AN203" s="28"/>
    </row>
    <row r="204" spans="1:40">
      <c r="A204" s="28">
        <v>202</v>
      </c>
      <c r="B204" s="29">
        <v>102440</v>
      </c>
      <c r="C204" s="28" t="s">
        <v>87</v>
      </c>
      <c r="D204" s="28"/>
      <c r="E204" s="28">
        <v>20160329</v>
      </c>
      <c r="F204" s="28"/>
      <c r="G204" s="29" t="s">
        <v>283</v>
      </c>
      <c r="H204" s="28" t="s">
        <v>285</v>
      </c>
      <c r="I204" s="28" t="s">
        <v>286</v>
      </c>
      <c r="J204" s="28" t="s">
        <v>58</v>
      </c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>
        <v>1</v>
      </c>
      <c r="AH204" s="47">
        <v>1</v>
      </c>
      <c r="AI204" s="47">
        <v>1</v>
      </c>
      <c r="AJ204" s="47">
        <v>1</v>
      </c>
      <c r="AK204" s="47">
        <v>1</v>
      </c>
      <c r="AL204" s="47">
        <v>1</v>
      </c>
      <c r="AM204" s="28">
        <f t="shared" si="4"/>
        <v>6</v>
      </c>
      <c r="AN204" s="28"/>
    </row>
    <row r="205" spans="1:40">
      <c r="A205" s="28">
        <v>203</v>
      </c>
      <c r="B205" s="29">
        <v>118691</v>
      </c>
      <c r="C205" s="28" t="s">
        <v>327</v>
      </c>
      <c r="D205" s="28"/>
      <c r="E205" s="28">
        <v>20191107</v>
      </c>
      <c r="F205" s="28"/>
      <c r="G205" s="29" t="s">
        <v>283</v>
      </c>
      <c r="H205" s="28" t="s">
        <v>285</v>
      </c>
      <c r="I205" s="28" t="s">
        <v>286</v>
      </c>
      <c r="J205" s="28" t="s">
        <v>58</v>
      </c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28">
        <f t="shared" si="4"/>
        <v>0</v>
      </c>
      <c r="AN205" s="28"/>
    </row>
    <row r="206" spans="1:40">
      <c r="A206" s="28">
        <v>204</v>
      </c>
      <c r="B206" s="29">
        <v>119263</v>
      </c>
      <c r="C206" s="28" t="s">
        <v>329</v>
      </c>
      <c r="D206" s="28"/>
      <c r="E206" s="28">
        <v>20200114</v>
      </c>
      <c r="F206" s="28"/>
      <c r="G206" s="29" t="s">
        <v>283</v>
      </c>
      <c r="H206" s="28" t="s">
        <v>285</v>
      </c>
      <c r="I206" s="28" t="s">
        <v>286</v>
      </c>
      <c r="J206" s="28" t="s">
        <v>58</v>
      </c>
      <c r="K206" s="47"/>
      <c r="L206" s="47"/>
      <c r="M206" s="47"/>
      <c r="N206" s="47"/>
      <c r="O206" s="47"/>
      <c r="P206" s="47"/>
      <c r="Q206" s="47"/>
      <c r="R206" s="47"/>
      <c r="S206" s="47"/>
      <c r="T206" s="47">
        <v>1</v>
      </c>
      <c r="U206" s="47">
        <v>1</v>
      </c>
      <c r="V206" s="47"/>
      <c r="W206" s="47"/>
      <c r="X206" s="47">
        <v>1</v>
      </c>
      <c r="Y206" s="47"/>
      <c r="Z206" s="47"/>
      <c r="AA206" s="47"/>
      <c r="AB206" s="47">
        <v>1</v>
      </c>
      <c r="AC206" s="47">
        <v>1</v>
      </c>
      <c r="AD206" s="47">
        <v>1</v>
      </c>
      <c r="AE206" s="47">
        <v>1</v>
      </c>
      <c r="AF206" s="47"/>
      <c r="AG206" s="47"/>
      <c r="AH206" s="47"/>
      <c r="AI206" s="47"/>
      <c r="AJ206" s="47"/>
      <c r="AK206" s="47"/>
      <c r="AL206" s="47"/>
      <c r="AM206" s="28">
        <f t="shared" si="4"/>
        <v>7</v>
      </c>
      <c r="AN206" s="28"/>
    </row>
    <row r="207" spans="1:40">
      <c r="A207" s="28">
        <v>205</v>
      </c>
      <c r="B207" s="29">
        <v>120584</v>
      </c>
      <c r="C207" s="28" t="s">
        <v>331</v>
      </c>
      <c r="D207" s="28"/>
      <c r="E207" s="28">
        <v>20200330</v>
      </c>
      <c r="F207" s="28"/>
      <c r="G207" s="29" t="s">
        <v>283</v>
      </c>
      <c r="H207" s="28" t="s">
        <v>285</v>
      </c>
      <c r="I207" s="28" t="s">
        <v>286</v>
      </c>
      <c r="J207" s="28" t="s">
        <v>58</v>
      </c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28">
        <f t="shared" si="4"/>
        <v>0</v>
      </c>
      <c r="AN207" s="28"/>
    </row>
    <row r="208" spans="1:40">
      <c r="A208" s="28">
        <v>206</v>
      </c>
      <c r="B208" s="29">
        <v>127745</v>
      </c>
      <c r="C208" s="28" t="s">
        <v>342</v>
      </c>
      <c r="D208" s="28"/>
      <c r="E208" s="28">
        <v>20220621</v>
      </c>
      <c r="F208" s="28"/>
      <c r="G208" s="29" t="s">
        <v>283</v>
      </c>
      <c r="H208" s="28" t="s">
        <v>285</v>
      </c>
      <c r="I208" s="28" t="s">
        <v>286</v>
      </c>
      <c r="J208" s="28" t="s">
        <v>54</v>
      </c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28">
        <f t="shared" si="4"/>
        <v>0</v>
      </c>
      <c r="AN208" s="28"/>
    </row>
    <row r="209" spans="1:40">
      <c r="A209" s="28">
        <v>207</v>
      </c>
      <c r="B209" s="29">
        <v>130797</v>
      </c>
      <c r="C209" s="28" t="s">
        <v>358</v>
      </c>
      <c r="D209" s="28"/>
      <c r="E209" s="28">
        <v>20240507</v>
      </c>
      <c r="F209" s="28"/>
      <c r="G209" s="29" t="s">
        <v>283</v>
      </c>
      <c r="H209" s="28" t="s">
        <v>285</v>
      </c>
      <c r="I209" s="28" t="s">
        <v>286</v>
      </c>
      <c r="J209" s="28" t="s">
        <v>58</v>
      </c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28">
        <f t="shared" si="4"/>
        <v>0</v>
      </c>
      <c r="AN209" s="28"/>
    </row>
    <row r="210" spans="1:40">
      <c r="A210" s="28">
        <v>208</v>
      </c>
      <c r="B210" s="29">
        <v>131983</v>
      </c>
      <c r="C210" s="28" t="s">
        <v>330</v>
      </c>
      <c r="D210" s="28"/>
      <c r="E210" s="28">
        <v>20240913</v>
      </c>
      <c r="F210" s="28"/>
      <c r="G210" s="29" t="s">
        <v>283</v>
      </c>
      <c r="H210" s="28" t="s">
        <v>285</v>
      </c>
      <c r="I210" s="28" t="s">
        <v>286</v>
      </c>
      <c r="J210" s="28" t="s">
        <v>54</v>
      </c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28">
        <f t="shared" si="4"/>
        <v>0</v>
      </c>
      <c r="AN210" s="28"/>
    </row>
    <row r="211" spans="1:40">
      <c r="A211" s="28">
        <v>209</v>
      </c>
      <c r="B211" s="29">
        <v>132446</v>
      </c>
      <c r="C211" s="28" t="s">
        <v>369</v>
      </c>
      <c r="D211" s="28"/>
      <c r="E211" s="28">
        <v>20241010</v>
      </c>
      <c r="F211" s="28"/>
      <c r="G211" s="29" t="s">
        <v>283</v>
      </c>
      <c r="H211" s="28" t="s">
        <v>285</v>
      </c>
      <c r="I211" s="28" t="s">
        <v>286</v>
      </c>
      <c r="J211" s="28" t="s">
        <v>54</v>
      </c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28">
        <f t="shared" si="4"/>
        <v>0</v>
      </c>
      <c r="AN211" s="28"/>
    </row>
    <row r="212" spans="1:40">
      <c r="A212" s="28">
        <v>210</v>
      </c>
      <c r="B212" s="29">
        <v>132897</v>
      </c>
      <c r="C212" s="28" t="s">
        <v>372</v>
      </c>
      <c r="D212" s="28"/>
      <c r="E212" s="28">
        <v>20241108</v>
      </c>
      <c r="F212" s="28"/>
      <c r="G212" s="29" t="s">
        <v>283</v>
      </c>
      <c r="H212" s="28" t="s">
        <v>285</v>
      </c>
      <c r="I212" s="28" t="s">
        <v>286</v>
      </c>
      <c r="J212" s="28" t="s">
        <v>58</v>
      </c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28">
        <f t="shared" si="4"/>
        <v>0</v>
      </c>
      <c r="AN212" s="28"/>
    </row>
    <row r="213" spans="1:40">
      <c r="A213" s="28">
        <v>211</v>
      </c>
      <c r="B213" s="29">
        <v>133454</v>
      </c>
      <c r="C213" s="28" t="s">
        <v>378</v>
      </c>
      <c r="D213" s="28"/>
      <c r="E213" s="28">
        <v>20250106</v>
      </c>
      <c r="F213" s="28"/>
      <c r="G213" s="29" t="s">
        <v>283</v>
      </c>
      <c r="H213" s="28" t="s">
        <v>285</v>
      </c>
      <c r="I213" s="28" t="s">
        <v>286</v>
      </c>
      <c r="J213" s="28" t="s">
        <v>54</v>
      </c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28">
        <f t="shared" si="4"/>
        <v>0</v>
      </c>
      <c r="AN213" s="28"/>
    </row>
    <row r="214" spans="1:40">
      <c r="A214" s="28">
        <v>212</v>
      </c>
      <c r="B214" s="29">
        <v>133543</v>
      </c>
      <c r="C214" s="28" t="s">
        <v>379</v>
      </c>
      <c r="D214" s="28"/>
      <c r="E214" s="28">
        <v>20250113</v>
      </c>
      <c r="F214" s="28"/>
      <c r="G214" s="29" t="s">
        <v>283</v>
      </c>
      <c r="H214" s="28" t="s">
        <v>285</v>
      </c>
      <c r="I214" s="28" t="s">
        <v>286</v>
      </c>
      <c r="J214" s="28" t="s">
        <v>58</v>
      </c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28">
        <f t="shared" si="4"/>
        <v>0</v>
      </c>
      <c r="AN214" s="28"/>
    </row>
    <row r="215" spans="1:40">
      <c r="A215" s="28">
        <v>213</v>
      </c>
      <c r="B215" s="29">
        <v>133544</v>
      </c>
      <c r="C215" s="28" t="s">
        <v>380</v>
      </c>
      <c r="D215" s="28"/>
      <c r="E215" s="28">
        <v>20250113</v>
      </c>
      <c r="F215" s="28"/>
      <c r="G215" s="29" t="s">
        <v>283</v>
      </c>
      <c r="H215" s="28" t="s">
        <v>285</v>
      </c>
      <c r="I215" s="28" t="s">
        <v>286</v>
      </c>
      <c r="J215" s="28" t="s">
        <v>54</v>
      </c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28">
        <f t="shared" si="4"/>
        <v>0</v>
      </c>
      <c r="AN215" s="28"/>
    </row>
    <row r="216" spans="1:40">
      <c r="A216" s="28">
        <v>214</v>
      </c>
      <c r="B216" s="29">
        <v>134065</v>
      </c>
      <c r="C216" s="28" t="s">
        <v>389</v>
      </c>
      <c r="D216" s="28"/>
      <c r="E216" s="28">
        <v>20250307</v>
      </c>
      <c r="F216" s="28"/>
      <c r="G216" s="29" t="s">
        <v>283</v>
      </c>
      <c r="H216" s="28" t="s">
        <v>285</v>
      </c>
      <c r="I216" s="28" t="s">
        <v>286</v>
      </c>
      <c r="J216" s="28" t="s">
        <v>58</v>
      </c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28">
        <f t="shared" si="4"/>
        <v>0</v>
      </c>
      <c r="AN216" s="28"/>
    </row>
    <row r="217" spans="1:40">
      <c r="A217" s="28">
        <v>215</v>
      </c>
      <c r="B217" s="29">
        <v>134089</v>
      </c>
      <c r="C217" s="28" t="s">
        <v>390</v>
      </c>
      <c r="D217" s="28"/>
      <c r="E217" s="28">
        <v>20250310</v>
      </c>
      <c r="F217" s="28"/>
      <c r="G217" s="29" t="s">
        <v>283</v>
      </c>
      <c r="H217" s="28" t="s">
        <v>285</v>
      </c>
      <c r="I217" s="28" t="s">
        <v>286</v>
      </c>
      <c r="J217" s="28" t="s">
        <v>58</v>
      </c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28">
        <f t="shared" si="4"/>
        <v>0</v>
      </c>
      <c r="AN217" s="28"/>
    </row>
    <row r="218" spans="1:40">
      <c r="A218" s="28">
        <v>216</v>
      </c>
      <c r="B218" s="29">
        <v>134831</v>
      </c>
      <c r="C218" s="28" t="s">
        <v>395</v>
      </c>
      <c r="D218" s="28"/>
      <c r="E218" s="28">
        <v>20250506</v>
      </c>
      <c r="F218" s="28"/>
      <c r="G218" s="29" t="s">
        <v>283</v>
      </c>
      <c r="H218" s="28" t="s">
        <v>285</v>
      </c>
      <c r="I218" s="28" t="s">
        <v>286</v>
      </c>
      <c r="J218" s="28" t="s">
        <v>58</v>
      </c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28">
        <f t="shared" si="4"/>
        <v>0</v>
      </c>
      <c r="AN218" s="28"/>
    </row>
    <row r="219" spans="1:40">
      <c r="A219" s="28">
        <v>217</v>
      </c>
      <c r="B219" s="29">
        <v>134928</v>
      </c>
      <c r="C219" s="28" t="s">
        <v>397</v>
      </c>
      <c r="D219" s="28"/>
      <c r="E219" s="28">
        <v>20250520</v>
      </c>
      <c r="F219" s="28"/>
      <c r="G219" s="29" t="s">
        <v>283</v>
      </c>
      <c r="H219" s="28" t="s">
        <v>285</v>
      </c>
      <c r="I219" s="28" t="s">
        <v>286</v>
      </c>
      <c r="J219" s="28" t="s">
        <v>54</v>
      </c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28">
        <f t="shared" si="4"/>
        <v>0</v>
      </c>
      <c r="AN219" s="28"/>
    </row>
    <row r="220" spans="1:40">
      <c r="A220" s="28">
        <v>218</v>
      </c>
      <c r="B220" s="45">
        <v>135011</v>
      </c>
      <c r="C220" s="44" t="s">
        <v>401</v>
      </c>
      <c r="D220" s="44"/>
      <c r="E220" s="44">
        <v>20250624</v>
      </c>
      <c r="F220" s="44">
        <v>20260214</v>
      </c>
      <c r="G220" s="45" t="s">
        <v>283</v>
      </c>
      <c r="H220" s="44" t="s">
        <v>285</v>
      </c>
      <c r="I220" s="44" t="s">
        <v>286</v>
      </c>
      <c r="J220" s="44" t="s">
        <v>54</v>
      </c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28">
        <f t="shared" si="4"/>
        <v>0</v>
      </c>
      <c r="AN220" s="28"/>
    </row>
    <row r="221" spans="1:40">
      <c r="A221" s="28">
        <v>219</v>
      </c>
      <c r="B221" s="29">
        <v>135481</v>
      </c>
      <c r="C221" s="28" t="s">
        <v>406</v>
      </c>
      <c r="D221" s="28"/>
      <c r="E221" s="28">
        <v>20250916</v>
      </c>
      <c r="F221" s="28"/>
      <c r="G221" s="29" t="s">
        <v>283</v>
      </c>
      <c r="H221" s="28" t="s">
        <v>285</v>
      </c>
      <c r="I221" s="28" t="s">
        <v>286</v>
      </c>
      <c r="J221" s="28" t="s">
        <v>58</v>
      </c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28">
        <f t="shared" si="4"/>
        <v>0</v>
      </c>
      <c r="AN221" s="28"/>
    </row>
    <row r="222" spans="1:40">
      <c r="A222" s="28">
        <v>220</v>
      </c>
      <c r="B222" s="29">
        <v>136203</v>
      </c>
      <c r="C222" s="28" t="s">
        <v>430</v>
      </c>
      <c r="D222" s="28"/>
      <c r="E222" s="28">
        <v>20260218</v>
      </c>
      <c r="F222" s="28"/>
      <c r="G222" s="29" t="s">
        <v>283</v>
      </c>
      <c r="H222" s="28" t="s">
        <v>285</v>
      </c>
      <c r="I222" s="28" t="s">
        <v>286</v>
      </c>
      <c r="J222" s="28" t="s">
        <v>54</v>
      </c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>
        <f t="shared" si="4"/>
        <v>0</v>
      </c>
      <c r="AN222" s="28"/>
    </row>
    <row r="223" spans="1:40">
      <c r="A223" s="28">
        <v>221</v>
      </c>
      <c r="B223" s="29">
        <v>700333</v>
      </c>
      <c r="C223" s="28" t="s">
        <v>425</v>
      </c>
      <c r="D223" s="28"/>
      <c r="E223" s="28">
        <v>20181101</v>
      </c>
      <c r="F223" s="28"/>
      <c r="G223" s="29" t="s">
        <v>283</v>
      </c>
      <c r="H223" s="28" t="s">
        <v>285</v>
      </c>
      <c r="I223" s="28" t="s">
        <v>286</v>
      </c>
      <c r="J223" s="28" t="s">
        <v>58</v>
      </c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28">
        <f t="shared" si="4"/>
        <v>0</v>
      </c>
      <c r="AN223" s="28"/>
    </row>
    <row r="224" spans="1:40">
      <c r="A224" s="28">
        <v>222</v>
      </c>
      <c r="B224" s="29">
        <v>100380</v>
      </c>
      <c r="C224" s="28" t="s">
        <v>290</v>
      </c>
      <c r="D224" s="28"/>
      <c r="E224" s="28">
        <v>20150601</v>
      </c>
      <c r="F224" s="28"/>
      <c r="G224" s="29" t="s">
        <v>283</v>
      </c>
      <c r="H224" s="28" t="s">
        <v>291</v>
      </c>
      <c r="I224" s="28" t="s">
        <v>292</v>
      </c>
      <c r="J224" s="28" t="s">
        <v>54</v>
      </c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28">
        <f t="shared" si="4"/>
        <v>0</v>
      </c>
      <c r="AN224" s="28"/>
    </row>
    <row r="225" spans="1:40">
      <c r="A225" s="28">
        <v>223</v>
      </c>
      <c r="B225" s="29">
        <v>104068</v>
      </c>
      <c r="C225" s="28" t="s">
        <v>300</v>
      </c>
      <c r="D225" s="28"/>
      <c r="E225" s="28">
        <v>20160906</v>
      </c>
      <c r="F225" s="28"/>
      <c r="G225" s="29" t="s">
        <v>283</v>
      </c>
      <c r="H225" s="28" t="s">
        <v>291</v>
      </c>
      <c r="I225" s="28" t="s">
        <v>292</v>
      </c>
      <c r="J225" s="28" t="s">
        <v>54</v>
      </c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28">
        <f t="shared" si="4"/>
        <v>0</v>
      </c>
      <c r="AN225" s="28"/>
    </row>
    <row r="226" spans="1:40">
      <c r="A226" s="28">
        <v>224</v>
      </c>
      <c r="B226" s="29">
        <v>113537</v>
      </c>
      <c r="C226" s="28" t="s">
        <v>321</v>
      </c>
      <c r="D226" s="28"/>
      <c r="E226" s="28">
        <v>20181206</v>
      </c>
      <c r="F226" s="28"/>
      <c r="G226" s="29" t="s">
        <v>283</v>
      </c>
      <c r="H226" s="28" t="s">
        <v>291</v>
      </c>
      <c r="I226" s="28" t="s">
        <v>292</v>
      </c>
      <c r="J226" s="28" t="s">
        <v>54</v>
      </c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28">
        <f t="shared" si="4"/>
        <v>0</v>
      </c>
      <c r="AN226" s="28"/>
    </row>
    <row r="227" spans="1:40">
      <c r="A227" s="28">
        <v>225</v>
      </c>
      <c r="B227" s="29">
        <v>113562</v>
      </c>
      <c r="C227" s="28" t="s">
        <v>299</v>
      </c>
      <c r="D227" s="28"/>
      <c r="E227" s="28">
        <v>20181211</v>
      </c>
      <c r="F227" s="28"/>
      <c r="G227" s="29" t="s">
        <v>283</v>
      </c>
      <c r="H227" s="28" t="s">
        <v>291</v>
      </c>
      <c r="I227" s="28" t="s">
        <v>292</v>
      </c>
      <c r="J227" s="28" t="s">
        <v>54</v>
      </c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28">
        <f t="shared" si="4"/>
        <v>0</v>
      </c>
      <c r="AN227" s="28"/>
    </row>
    <row r="228" spans="1:40">
      <c r="A228" s="28">
        <v>226</v>
      </c>
      <c r="B228" s="29">
        <v>129787</v>
      </c>
      <c r="C228" s="28" t="s">
        <v>350</v>
      </c>
      <c r="D228" s="28"/>
      <c r="E228" s="28">
        <v>20240130</v>
      </c>
      <c r="F228" s="28"/>
      <c r="G228" s="29" t="s">
        <v>283</v>
      </c>
      <c r="H228" s="28" t="s">
        <v>291</v>
      </c>
      <c r="I228" s="28" t="s">
        <v>292</v>
      </c>
      <c r="J228" s="28" t="s">
        <v>58</v>
      </c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28">
        <f t="shared" si="4"/>
        <v>0</v>
      </c>
      <c r="AN228" s="28"/>
    </row>
    <row r="229" spans="1:40">
      <c r="A229" s="28">
        <v>227</v>
      </c>
      <c r="B229" s="29">
        <v>129788</v>
      </c>
      <c r="C229" s="28" t="s">
        <v>351</v>
      </c>
      <c r="D229" s="28"/>
      <c r="E229" s="28">
        <v>20240130</v>
      </c>
      <c r="F229" s="28"/>
      <c r="G229" s="29" t="s">
        <v>283</v>
      </c>
      <c r="H229" s="28" t="s">
        <v>291</v>
      </c>
      <c r="I229" s="28" t="s">
        <v>292</v>
      </c>
      <c r="J229" s="28" t="s">
        <v>54</v>
      </c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28">
        <f t="shared" si="4"/>
        <v>0</v>
      </c>
      <c r="AN229" s="28"/>
    </row>
    <row r="230" spans="1:40">
      <c r="A230" s="28">
        <v>228</v>
      </c>
      <c r="B230" s="45">
        <v>130326</v>
      </c>
      <c r="C230" s="44" t="s">
        <v>356</v>
      </c>
      <c r="D230" s="44"/>
      <c r="E230" s="44">
        <v>20240325</v>
      </c>
      <c r="F230" s="44">
        <v>20260220</v>
      </c>
      <c r="G230" s="45" t="s">
        <v>283</v>
      </c>
      <c r="H230" s="44" t="s">
        <v>291</v>
      </c>
      <c r="I230" s="44" t="s">
        <v>292</v>
      </c>
      <c r="J230" s="44" t="s">
        <v>54</v>
      </c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28">
        <f t="shared" si="4"/>
        <v>0</v>
      </c>
      <c r="AN230" s="28"/>
    </row>
    <row r="231" spans="1:40">
      <c r="A231" s="28">
        <v>229</v>
      </c>
      <c r="B231" s="29">
        <v>131378</v>
      </c>
      <c r="C231" s="28" t="s">
        <v>363</v>
      </c>
      <c r="D231" s="28"/>
      <c r="E231" s="28">
        <v>20240806</v>
      </c>
      <c r="F231" s="28"/>
      <c r="G231" s="29" t="s">
        <v>283</v>
      </c>
      <c r="H231" s="28" t="s">
        <v>291</v>
      </c>
      <c r="I231" s="28" t="s">
        <v>292</v>
      </c>
      <c r="J231" s="28" t="s">
        <v>58</v>
      </c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28">
        <f t="shared" si="4"/>
        <v>0</v>
      </c>
      <c r="AN231" s="28"/>
    </row>
    <row r="232" spans="1:40">
      <c r="A232" s="28">
        <v>230</v>
      </c>
      <c r="B232" s="29">
        <v>131982</v>
      </c>
      <c r="C232" s="28" t="s">
        <v>293</v>
      </c>
      <c r="D232" s="28"/>
      <c r="E232" s="28">
        <v>20240913</v>
      </c>
      <c r="F232" s="28"/>
      <c r="G232" s="29" t="s">
        <v>283</v>
      </c>
      <c r="H232" s="28" t="s">
        <v>291</v>
      </c>
      <c r="I232" s="28" t="s">
        <v>292</v>
      </c>
      <c r="J232" s="28" t="s">
        <v>54</v>
      </c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28">
        <f t="shared" si="4"/>
        <v>0</v>
      </c>
      <c r="AN232" s="28"/>
    </row>
    <row r="233" spans="1:40">
      <c r="A233" s="28">
        <v>231</v>
      </c>
      <c r="B233" s="29">
        <v>133144</v>
      </c>
      <c r="C233" s="28" t="s">
        <v>375</v>
      </c>
      <c r="D233" s="28"/>
      <c r="E233" s="28">
        <v>20241128</v>
      </c>
      <c r="F233" s="28"/>
      <c r="G233" s="29" t="s">
        <v>283</v>
      </c>
      <c r="H233" s="28" t="s">
        <v>291</v>
      </c>
      <c r="I233" s="28" t="s">
        <v>292</v>
      </c>
      <c r="J233" s="28" t="s">
        <v>54</v>
      </c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28">
        <f t="shared" si="4"/>
        <v>0</v>
      </c>
      <c r="AN233" s="28"/>
    </row>
    <row r="234" spans="1:40">
      <c r="A234" s="28">
        <v>232</v>
      </c>
      <c r="B234" s="29">
        <v>133869</v>
      </c>
      <c r="C234" s="28" t="s">
        <v>387</v>
      </c>
      <c r="D234" s="28"/>
      <c r="E234" s="28">
        <v>20250219</v>
      </c>
      <c r="F234" s="28"/>
      <c r="G234" s="29" t="s">
        <v>283</v>
      </c>
      <c r="H234" s="28" t="s">
        <v>291</v>
      </c>
      <c r="I234" s="28" t="s">
        <v>292</v>
      </c>
      <c r="J234" s="28" t="s">
        <v>54</v>
      </c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28">
        <f t="shared" si="4"/>
        <v>0</v>
      </c>
      <c r="AN234" s="28"/>
    </row>
    <row r="235" spans="1:40">
      <c r="A235" s="28">
        <v>233</v>
      </c>
      <c r="B235" s="29">
        <v>134135</v>
      </c>
      <c r="C235" s="28" t="s">
        <v>391</v>
      </c>
      <c r="D235" s="28"/>
      <c r="E235" s="28">
        <v>20250317</v>
      </c>
      <c r="F235" s="28"/>
      <c r="G235" s="29" t="s">
        <v>283</v>
      </c>
      <c r="H235" s="28" t="s">
        <v>291</v>
      </c>
      <c r="I235" s="28" t="s">
        <v>292</v>
      </c>
      <c r="J235" s="28" t="s">
        <v>54</v>
      </c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28">
        <f t="shared" si="4"/>
        <v>0</v>
      </c>
      <c r="AN235" s="28"/>
    </row>
    <row r="236" spans="1:40">
      <c r="A236" s="28">
        <v>234</v>
      </c>
      <c r="B236" s="29">
        <v>134397</v>
      </c>
      <c r="C236" s="28" t="s">
        <v>392</v>
      </c>
      <c r="D236" s="28"/>
      <c r="E236" s="28">
        <v>20250423</v>
      </c>
      <c r="F236" s="28"/>
      <c r="G236" s="29" t="s">
        <v>283</v>
      </c>
      <c r="H236" s="28" t="s">
        <v>291</v>
      </c>
      <c r="I236" s="28" t="s">
        <v>292</v>
      </c>
      <c r="J236" s="28" t="s">
        <v>54</v>
      </c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28">
        <f t="shared" si="4"/>
        <v>0</v>
      </c>
      <c r="AN236" s="28"/>
    </row>
    <row r="237" spans="1:40">
      <c r="A237" s="28">
        <v>235</v>
      </c>
      <c r="B237" s="29">
        <v>134398</v>
      </c>
      <c r="C237" s="28" t="s">
        <v>393</v>
      </c>
      <c r="D237" s="28"/>
      <c r="E237" s="28">
        <v>20250423</v>
      </c>
      <c r="F237" s="28"/>
      <c r="G237" s="29" t="s">
        <v>283</v>
      </c>
      <c r="H237" s="28" t="s">
        <v>291</v>
      </c>
      <c r="I237" s="28" t="s">
        <v>292</v>
      </c>
      <c r="J237" s="28" t="s">
        <v>54</v>
      </c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28">
        <f t="shared" si="4"/>
        <v>0</v>
      </c>
      <c r="AN237" s="28"/>
    </row>
    <row r="238" spans="1:40">
      <c r="A238" s="28">
        <v>236</v>
      </c>
      <c r="B238" s="29">
        <v>135357</v>
      </c>
      <c r="C238" s="28" t="s">
        <v>404</v>
      </c>
      <c r="D238" s="28"/>
      <c r="E238" s="28">
        <v>20250826</v>
      </c>
      <c r="F238" s="28"/>
      <c r="G238" s="29" t="s">
        <v>283</v>
      </c>
      <c r="H238" s="28" t="s">
        <v>291</v>
      </c>
      <c r="I238" s="28" t="s">
        <v>292</v>
      </c>
      <c r="J238" s="28" t="s">
        <v>54</v>
      </c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28">
        <f t="shared" si="4"/>
        <v>0</v>
      </c>
      <c r="AN238" s="28"/>
    </row>
    <row r="239" spans="1:40">
      <c r="A239" s="28">
        <v>237</v>
      </c>
      <c r="B239" s="29">
        <v>108973</v>
      </c>
      <c r="C239" s="28" t="s">
        <v>310</v>
      </c>
      <c r="D239" s="28"/>
      <c r="E239" s="28">
        <v>20170606</v>
      </c>
      <c r="F239" s="28"/>
      <c r="G239" s="29" t="s">
        <v>283</v>
      </c>
      <c r="H239" s="28" t="s">
        <v>311</v>
      </c>
      <c r="I239" s="28" t="s">
        <v>312</v>
      </c>
      <c r="J239" s="28" t="s">
        <v>58</v>
      </c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28">
        <f t="shared" si="4"/>
        <v>0</v>
      </c>
      <c r="AN239" s="28"/>
    </row>
    <row r="240" spans="1:40">
      <c r="A240" s="28">
        <v>238</v>
      </c>
      <c r="B240" s="29">
        <v>126333</v>
      </c>
      <c r="C240" s="28" t="s">
        <v>336</v>
      </c>
      <c r="D240" s="28"/>
      <c r="E240" s="28">
        <v>20220421</v>
      </c>
      <c r="F240" s="28"/>
      <c r="G240" s="29" t="s">
        <v>283</v>
      </c>
      <c r="H240" s="28" t="s">
        <v>311</v>
      </c>
      <c r="I240" s="28" t="s">
        <v>312</v>
      </c>
      <c r="J240" s="28" t="s">
        <v>58</v>
      </c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28">
        <f t="shared" si="4"/>
        <v>0</v>
      </c>
      <c r="AN240" s="28"/>
    </row>
    <row r="241" spans="1:40">
      <c r="A241" s="28">
        <v>239</v>
      </c>
      <c r="B241" s="29">
        <v>127781</v>
      </c>
      <c r="C241" s="28" t="s">
        <v>343</v>
      </c>
      <c r="D241" s="28"/>
      <c r="E241" s="28">
        <v>20220621</v>
      </c>
      <c r="F241" s="28"/>
      <c r="G241" s="29" t="s">
        <v>283</v>
      </c>
      <c r="H241" s="28" t="s">
        <v>311</v>
      </c>
      <c r="I241" s="28" t="s">
        <v>312</v>
      </c>
      <c r="J241" s="28" t="s">
        <v>58</v>
      </c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28">
        <f t="shared" si="4"/>
        <v>0</v>
      </c>
      <c r="AN241" s="28"/>
    </row>
    <row r="242" spans="1:40">
      <c r="A242" s="28">
        <v>240</v>
      </c>
      <c r="B242" s="29">
        <v>130794</v>
      </c>
      <c r="C242" s="28" t="s">
        <v>357</v>
      </c>
      <c r="D242" s="28"/>
      <c r="E242" s="28">
        <v>20240502</v>
      </c>
      <c r="F242" s="28"/>
      <c r="G242" s="29" t="s">
        <v>283</v>
      </c>
      <c r="H242" s="28" t="s">
        <v>311</v>
      </c>
      <c r="I242" s="28" t="s">
        <v>312</v>
      </c>
      <c r="J242" s="28" t="s">
        <v>58</v>
      </c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28">
        <f t="shared" si="4"/>
        <v>0</v>
      </c>
      <c r="AN242" s="28"/>
    </row>
    <row r="243" spans="1:40">
      <c r="A243" s="28">
        <v>241</v>
      </c>
      <c r="B243" s="29">
        <v>130957</v>
      </c>
      <c r="C243" s="28" t="s">
        <v>359</v>
      </c>
      <c r="D243" s="28"/>
      <c r="E243" s="28">
        <v>20240520</v>
      </c>
      <c r="F243" s="28"/>
      <c r="G243" s="29" t="s">
        <v>283</v>
      </c>
      <c r="H243" s="28" t="s">
        <v>311</v>
      </c>
      <c r="I243" s="28" t="s">
        <v>312</v>
      </c>
      <c r="J243" s="28" t="s">
        <v>54</v>
      </c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28">
        <f t="shared" si="4"/>
        <v>0</v>
      </c>
      <c r="AN243" s="28"/>
    </row>
    <row r="244" spans="1:40">
      <c r="A244" s="28">
        <v>242</v>
      </c>
      <c r="B244" s="29">
        <v>130958</v>
      </c>
      <c r="C244" s="28" t="s">
        <v>360</v>
      </c>
      <c r="D244" s="28"/>
      <c r="E244" s="28">
        <v>20240520</v>
      </c>
      <c r="F244" s="28"/>
      <c r="G244" s="29" t="s">
        <v>283</v>
      </c>
      <c r="H244" s="28" t="s">
        <v>311</v>
      </c>
      <c r="I244" s="28" t="s">
        <v>312</v>
      </c>
      <c r="J244" s="28" t="s">
        <v>54</v>
      </c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28">
        <f t="shared" si="4"/>
        <v>0</v>
      </c>
      <c r="AN244" s="28"/>
    </row>
    <row r="245" spans="1:40">
      <c r="A245" s="28">
        <v>243</v>
      </c>
      <c r="B245" s="29">
        <v>131005</v>
      </c>
      <c r="C245" s="28" t="s">
        <v>361</v>
      </c>
      <c r="D245" s="28"/>
      <c r="E245" s="28">
        <v>20240530</v>
      </c>
      <c r="F245" s="28"/>
      <c r="G245" s="29" t="s">
        <v>283</v>
      </c>
      <c r="H245" s="28" t="s">
        <v>311</v>
      </c>
      <c r="I245" s="28" t="s">
        <v>312</v>
      </c>
      <c r="J245" s="28" t="s">
        <v>58</v>
      </c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28">
        <f t="shared" si="4"/>
        <v>0</v>
      </c>
      <c r="AN245" s="28"/>
    </row>
    <row r="246" spans="1:40">
      <c r="A246" s="28">
        <v>244</v>
      </c>
      <c r="B246" s="29">
        <v>132846</v>
      </c>
      <c r="C246" s="28" t="s">
        <v>371</v>
      </c>
      <c r="D246" s="28"/>
      <c r="E246" s="28">
        <v>20241106</v>
      </c>
      <c r="F246" s="28"/>
      <c r="G246" s="29" t="s">
        <v>283</v>
      </c>
      <c r="H246" s="28" t="s">
        <v>311</v>
      </c>
      <c r="I246" s="28" t="s">
        <v>312</v>
      </c>
      <c r="J246" s="28" t="s">
        <v>58</v>
      </c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28">
        <f t="shared" si="4"/>
        <v>0</v>
      </c>
      <c r="AN246" s="28"/>
    </row>
    <row r="247" spans="1:40">
      <c r="A247" s="28">
        <v>245</v>
      </c>
      <c r="B247" s="29">
        <v>133787</v>
      </c>
      <c r="C247" s="28" t="s">
        <v>385</v>
      </c>
      <c r="D247" s="28"/>
      <c r="E247" s="28">
        <v>20250213</v>
      </c>
      <c r="F247" s="28"/>
      <c r="G247" s="29" t="s">
        <v>283</v>
      </c>
      <c r="H247" s="28" t="s">
        <v>311</v>
      </c>
      <c r="I247" s="28" t="s">
        <v>312</v>
      </c>
      <c r="J247" s="28" t="s">
        <v>58</v>
      </c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28">
        <f t="shared" si="4"/>
        <v>0</v>
      </c>
      <c r="AN247" s="28"/>
    </row>
    <row r="248" spans="1:40">
      <c r="A248" s="28">
        <v>246</v>
      </c>
      <c r="B248" s="29">
        <v>133825</v>
      </c>
      <c r="C248" s="28" t="s">
        <v>386</v>
      </c>
      <c r="D248" s="28"/>
      <c r="E248" s="28">
        <v>20250217</v>
      </c>
      <c r="F248" s="28"/>
      <c r="G248" s="29" t="s">
        <v>283</v>
      </c>
      <c r="H248" s="28" t="s">
        <v>311</v>
      </c>
      <c r="I248" s="28" t="s">
        <v>312</v>
      </c>
      <c r="J248" s="28" t="s">
        <v>58</v>
      </c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28">
        <f t="shared" si="4"/>
        <v>0</v>
      </c>
      <c r="AN248" s="28"/>
    </row>
    <row r="249" spans="1:40">
      <c r="A249" s="28">
        <v>247</v>
      </c>
      <c r="B249" s="29">
        <v>134926</v>
      </c>
      <c r="C249" s="28" t="s">
        <v>396</v>
      </c>
      <c r="D249" s="28"/>
      <c r="E249" s="28">
        <v>20250515</v>
      </c>
      <c r="F249" s="28"/>
      <c r="G249" s="29" t="s">
        <v>283</v>
      </c>
      <c r="H249" s="28" t="s">
        <v>311</v>
      </c>
      <c r="I249" s="28" t="s">
        <v>312</v>
      </c>
      <c r="J249" s="28" t="s">
        <v>58</v>
      </c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28">
        <f t="shared" ref="AM249:AM312" si="5">SUM(K249:AL249)</f>
        <v>0</v>
      </c>
      <c r="AN249" s="28"/>
    </row>
    <row r="250" spans="1:40">
      <c r="A250" s="28">
        <v>248</v>
      </c>
      <c r="B250" s="29">
        <v>135505</v>
      </c>
      <c r="C250" s="28" t="s">
        <v>407</v>
      </c>
      <c r="D250" s="28"/>
      <c r="E250" s="28">
        <v>20250923</v>
      </c>
      <c r="F250" s="28"/>
      <c r="G250" s="29" t="s">
        <v>283</v>
      </c>
      <c r="H250" s="28" t="s">
        <v>311</v>
      </c>
      <c r="I250" s="28" t="s">
        <v>312</v>
      </c>
      <c r="J250" s="28" t="s">
        <v>54</v>
      </c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28">
        <f t="shared" si="5"/>
        <v>0</v>
      </c>
      <c r="AN250" s="28"/>
    </row>
    <row r="251" spans="1:40">
      <c r="A251" s="28">
        <v>249</v>
      </c>
      <c r="B251" s="29">
        <v>135550</v>
      </c>
      <c r="C251" s="28" t="s">
        <v>409</v>
      </c>
      <c r="D251" s="28"/>
      <c r="E251" s="28">
        <v>20251008</v>
      </c>
      <c r="F251" s="28"/>
      <c r="G251" s="29" t="s">
        <v>283</v>
      </c>
      <c r="H251" s="28" t="s">
        <v>311</v>
      </c>
      <c r="I251" s="28" t="s">
        <v>312</v>
      </c>
      <c r="J251" s="28" t="s">
        <v>58</v>
      </c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28">
        <f t="shared" si="5"/>
        <v>0</v>
      </c>
      <c r="AN251" s="28"/>
    </row>
    <row r="252" spans="1:40">
      <c r="A252" s="28">
        <v>250</v>
      </c>
      <c r="B252" s="29">
        <v>135551</v>
      </c>
      <c r="C252" s="28" t="s">
        <v>410</v>
      </c>
      <c r="D252" s="28"/>
      <c r="E252" s="28">
        <v>20251008</v>
      </c>
      <c r="F252" s="28"/>
      <c r="G252" s="29" t="s">
        <v>283</v>
      </c>
      <c r="H252" s="28" t="s">
        <v>311</v>
      </c>
      <c r="I252" s="28" t="s">
        <v>312</v>
      </c>
      <c r="J252" s="28" t="s">
        <v>54</v>
      </c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28">
        <f t="shared" si="5"/>
        <v>0</v>
      </c>
      <c r="AN252" s="28"/>
    </row>
    <row r="253" spans="1:40">
      <c r="A253" s="28">
        <v>251</v>
      </c>
      <c r="B253" s="29">
        <v>135868</v>
      </c>
      <c r="C253" s="28" t="s">
        <v>415</v>
      </c>
      <c r="D253" s="28"/>
      <c r="E253" s="28">
        <v>20251215</v>
      </c>
      <c r="F253" s="28"/>
      <c r="G253" s="29" t="s">
        <v>283</v>
      </c>
      <c r="H253" s="28" t="s">
        <v>311</v>
      </c>
      <c r="I253" s="28" t="s">
        <v>312</v>
      </c>
      <c r="J253" s="28" t="s">
        <v>54</v>
      </c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28">
        <f t="shared" si="5"/>
        <v>0</v>
      </c>
      <c r="AN253" s="28"/>
    </row>
    <row r="254" spans="1:40">
      <c r="A254" s="28">
        <v>252</v>
      </c>
      <c r="B254" s="29">
        <v>135913</v>
      </c>
      <c r="C254" s="28" t="s">
        <v>346</v>
      </c>
      <c r="D254" s="28"/>
      <c r="E254" s="28">
        <v>20251222</v>
      </c>
      <c r="F254" s="28"/>
      <c r="G254" s="29" t="s">
        <v>283</v>
      </c>
      <c r="H254" s="28" t="s">
        <v>311</v>
      </c>
      <c r="I254" s="28" t="s">
        <v>312</v>
      </c>
      <c r="J254" s="28" t="s">
        <v>54</v>
      </c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28">
        <f t="shared" si="5"/>
        <v>0</v>
      </c>
      <c r="AN254" s="28"/>
    </row>
    <row r="255" spans="1:40">
      <c r="A255" s="28">
        <v>253</v>
      </c>
      <c r="B255" s="29">
        <v>135959</v>
      </c>
      <c r="C255" s="28" t="s">
        <v>368</v>
      </c>
      <c r="D255" s="28"/>
      <c r="E255" s="28">
        <v>20260107</v>
      </c>
      <c r="F255" s="28"/>
      <c r="G255" s="29" t="s">
        <v>283</v>
      </c>
      <c r="H255" s="28" t="s">
        <v>311</v>
      </c>
      <c r="I255" s="28" t="s">
        <v>312</v>
      </c>
      <c r="J255" s="28" t="s">
        <v>58</v>
      </c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28">
        <f t="shared" si="5"/>
        <v>0</v>
      </c>
      <c r="AN255" s="28"/>
    </row>
    <row r="256" spans="1:40">
      <c r="A256" s="28">
        <v>254</v>
      </c>
      <c r="B256" s="29">
        <v>136126</v>
      </c>
      <c r="C256" s="28" t="s">
        <v>429</v>
      </c>
      <c r="D256" s="28"/>
      <c r="E256" s="28">
        <v>20260203</v>
      </c>
      <c r="F256" s="28"/>
      <c r="G256" s="29" t="s">
        <v>283</v>
      </c>
      <c r="H256" s="28" t="s">
        <v>311</v>
      </c>
      <c r="I256" s="28" t="s">
        <v>312</v>
      </c>
      <c r="J256" s="28" t="s">
        <v>54</v>
      </c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>
        <f t="shared" si="5"/>
        <v>0</v>
      </c>
      <c r="AN256" s="28"/>
    </row>
    <row r="257" spans="1:40">
      <c r="A257" s="28">
        <v>255</v>
      </c>
      <c r="B257" s="29">
        <v>101346</v>
      </c>
      <c r="C257" s="28" t="s">
        <v>294</v>
      </c>
      <c r="D257" s="28"/>
      <c r="E257" s="28">
        <v>20151201</v>
      </c>
      <c r="F257" s="28"/>
      <c r="G257" s="29" t="s">
        <v>283</v>
      </c>
      <c r="H257" s="28" t="s">
        <v>295</v>
      </c>
      <c r="I257" s="28" t="s">
        <v>22</v>
      </c>
      <c r="J257" s="28" t="s">
        <v>54</v>
      </c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28">
        <f t="shared" si="5"/>
        <v>0</v>
      </c>
      <c r="AN257" s="28"/>
    </row>
    <row r="258" spans="1:40">
      <c r="A258" s="28">
        <v>256</v>
      </c>
      <c r="B258" s="29">
        <v>103928</v>
      </c>
      <c r="C258" s="28" t="s">
        <v>298</v>
      </c>
      <c r="D258" s="28"/>
      <c r="E258" s="28">
        <v>20160825</v>
      </c>
      <c r="F258" s="28"/>
      <c r="G258" s="29" t="s">
        <v>283</v>
      </c>
      <c r="H258" s="28" t="s">
        <v>295</v>
      </c>
      <c r="I258" s="28" t="s">
        <v>22</v>
      </c>
      <c r="J258" s="28" t="s">
        <v>54</v>
      </c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28">
        <f t="shared" si="5"/>
        <v>0</v>
      </c>
      <c r="AN258" s="28"/>
    </row>
    <row r="259" spans="1:40">
      <c r="A259" s="28">
        <v>257</v>
      </c>
      <c r="B259" s="29">
        <v>103964</v>
      </c>
      <c r="C259" s="28" t="s">
        <v>299</v>
      </c>
      <c r="D259" s="28"/>
      <c r="E259" s="28">
        <v>20160825</v>
      </c>
      <c r="F259" s="28"/>
      <c r="G259" s="29" t="s">
        <v>283</v>
      </c>
      <c r="H259" s="28" t="s">
        <v>295</v>
      </c>
      <c r="I259" s="28" t="s">
        <v>22</v>
      </c>
      <c r="J259" s="28" t="s">
        <v>54</v>
      </c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28">
        <f t="shared" si="5"/>
        <v>0</v>
      </c>
      <c r="AN259" s="28"/>
    </row>
    <row r="260" spans="1:40">
      <c r="A260" s="28">
        <v>258</v>
      </c>
      <c r="B260" s="29">
        <v>108851</v>
      </c>
      <c r="C260" s="28" t="s">
        <v>309</v>
      </c>
      <c r="D260" s="28"/>
      <c r="E260" s="28">
        <v>20170525</v>
      </c>
      <c r="F260" s="28"/>
      <c r="G260" s="29" t="s">
        <v>283</v>
      </c>
      <c r="H260" s="28" t="s">
        <v>295</v>
      </c>
      <c r="I260" s="28" t="s">
        <v>22</v>
      </c>
      <c r="J260" s="28" t="s">
        <v>54</v>
      </c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28">
        <f t="shared" si="5"/>
        <v>0</v>
      </c>
      <c r="AN260" s="28"/>
    </row>
    <row r="261" spans="1:40">
      <c r="A261" s="28">
        <v>259</v>
      </c>
      <c r="B261" s="29">
        <v>109016</v>
      </c>
      <c r="C261" s="28" t="s">
        <v>313</v>
      </c>
      <c r="D261" s="28"/>
      <c r="E261" s="28">
        <v>20170613</v>
      </c>
      <c r="F261" s="28"/>
      <c r="G261" s="29" t="s">
        <v>283</v>
      </c>
      <c r="H261" s="28" t="s">
        <v>295</v>
      </c>
      <c r="I261" s="28" t="s">
        <v>22</v>
      </c>
      <c r="J261" s="28" t="s">
        <v>58</v>
      </c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28">
        <f t="shared" si="5"/>
        <v>0</v>
      </c>
      <c r="AN261" s="28"/>
    </row>
    <row r="262" spans="1:40">
      <c r="A262" s="28">
        <v>260</v>
      </c>
      <c r="B262" s="29">
        <v>110450</v>
      </c>
      <c r="C262" s="28" t="s">
        <v>318</v>
      </c>
      <c r="D262" s="28"/>
      <c r="E262" s="28">
        <v>20180222</v>
      </c>
      <c r="F262" s="28"/>
      <c r="G262" s="29" t="s">
        <v>283</v>
      </c>
      <c r="H262" s="28" t="s">
        <v>295</v>
      </c>
      <c r="I262" s="28" t="s">
        <v>22</v>
      </c>
      <c r="J262" s="28" t="s">
        <v>58</v>
      </c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28">
        <f t="shared" si="5"/>
        <v>0</v>
      </c>
      <c r="AN262" s="28"/>
    </row>
    <row r="263" spans="1:40">
      <c r="A263" s="28">
        <v>261</v>
      </c>
      <c r="B263" s="29">
        <v>117760</v>
      </c>
      <c r="C263" s="28" t="s">
        <v>323</v>
      </c>
      <c r="D263" s="28"/>
      <c r="E263" s="28">
        <v>20191022</v>
      </c>
      <c r="F263" s="28"/>
      <c r="G263" s="29" t="s">
        <v>283</v>
      </c>
      <c r="H263" s="28" t="s">
        <v>295</v>
      </c>
      <c r="I263" s="28" t="s">
        <v>22</v>
      </c>
      <c r="J263" s="28" t="s">
        <v>54</v>
      </c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28">
        <f t="shared" si="5"/>
        <v>0</v>
      </c>
      <c r="AN263" s="28"/>
    </row>
    <row r="264" spans="1:40">
      <c r="A264" s="28">
        <v>262</v>
      </c>
      <c r="B264" s="29">
        <v>117894</v>
      </c>
      <c r="C264" s="28" t="s">
        <v>324</v>
      </c>
      <c r="D264" s="28"/>
      <c r="E264" s="28">
        <v>20191022</v>
      </c>
      <c r="F264" s="28"/>
      <c r="G264" s="29" t="s">
        <v>283</v>
      </c>
      <c r="H264" s="28" t="s">
        <v>295</v>
      </c>
      <c r="I264" s="28" t="s">
        <v>22</v>
      </c>
      <c r="J264" s="28" t="s">
        <v>54</v>
      </c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28">
        <f t="shared" si="5"/>
        <v>0</v>
      </c>
      <c r="AN264" s="28"/>
    </row>
    <row r="265" spans="1:40">
      <c r="A265" s="28">
        <v>263</v>
      </c>
      <c r="B265" s="29">
        <v>118195</v>
      </c>
      <c r="C265" s="28" t="s">
        <v>326</v>
      </c>
      <c r="D265" s="28"/>
      <c r="E265" s="28">
        <v>20191029</v>
      </c>
      <c r="F265" s="28"/>
      <c r="G265" s="29" t="s">
        <v>283</v>
      </c>
      <c r="H265" s="28" t="s">
        <v>295</v>
      </c>
      <c r="I265" s="28" t="s">
        <v>22</v>
      </c>
      <c r="J265" s="28" t="s">
        <v>54</v>
      </c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28">
        <f t="shared" si="5"/>
        <v>0</v>
      </c>
      <c r="AN265" s="28"/>
    </row>
    <row r="266" spans="1:40">
      <c r="A266" s="28">
        <v>264</v>
      </c>
      <c r="B266" s="29">
        <v>118835</v>
      </c>
      <c r="C266" s="28" t="s">
        <v>328</v>
      </c>
      <c r="D266" s="28"/>
      <c r="E266" s="28">
        <v>20191210</v>
      </c>
      <c r="F266" s="28"/>
      <c r="G266" s="29" t="s">
        <v>283</v>
      </c>
      <c r="H266" s="28" t="s">
        <v>295</v>
      </c>
      <c r="I266" s="28" t="s">
        <v>22</v>
      </c>
      <c r="J266" s="28" t="s">
        <v>58</v>
      </c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28">
        <f t="shared" si="5"/>
        <v>0</v>
      </c>
      <c r="AN266" s="28"/>
    </row>
    <row r="267" spans="1:40">
      <c r="A267" s="28">
        <v>265</v>
      </c>
      <c r="B267" s="29">
        <v>126432</v>
      </c>
      <c r="C267" s="28" t="s">
        <v>337</v>
      </c>
      <c r="D267" s="28"/>
      <c r="E267" s="28">
        <v>20220421</v>
      </c>
      <c r="F267" s="28"/>
      <c r="G267" s="29" t="s">
        <v>283</v>
      </c>
      <c r="H267" s="28" t="s">
        <v>295</v>
      </c>
      <c r="I267" s="28" t="s">
        <v>22</v>
      </c>
      <c r="J267" s="28" t="s">
        <v>54</v>
      </c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28">
        <f t="shared" si="5"/>
        <v>0</v>
      </c>
      <c r="AN267" s="28"/>
    </row>
    <row r="268" spans="1:40">
      <c r="A268" s="28">
        <v>266</v>
      </c>
      <c r="B268" s="29">
        <v>129354</v>
      </c>
      <c r="C268" s="28" t="s">
        <v>347</v>
      </c>
      <c r="D268" s="28"/>
      <c r="E268" s="28">
        <v>20231226</v>
      </c>
      <c r="F268" s="28"/>
      <c r="G268" s="29" t="s">
        <v>283</v>
      </c>
      <c r="H268" s="28" t="s">
        <v>295</v>
      </c>
      <c r="I268" s="28" t="s">
        <v>22</v>
      </c>
      <c r="J268" s="28" t="s">
        <v>58</v>
      </c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28">
        <f t="shared" si="5"/>
        <v>0</v>
      </c>
      <c r="AN268" s="28"/>
    </row>
    <row r="269" spans="1:40">
      <c r="A269" s="28">
        <v>267</v>
      </c>
      <c r="B269" s="29">
        <v>129376</v>
      </c>
      <c r="C269" s="28" t="s">
        <v>348</v>
      </c>
      <c r="D269" s="28"/>
      <c r="E269" s="28">
        <v>20231228</v>
      </c>
      <c r="F269" s="28"/>
      <c r="G269" s="29" t="s">
        <v>283</v>
      </c>
      <c r="H269" s="28" t="s">
        <v>295</v>
      </c>
      <c r="I269" s="28" t="s">
        <v>22</v>
      </c>
      <c r="J269" s="28" t="s">
        <v>54</v>
      </c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28">
        <f t="shared" si="5"/>
        <v>0</v>
      </c>
      <c r="AN269" s="28"/>
    </row>
    <row r="270" spans="1:40">
      <c r="A270" s="28">
        <v>268</v>
      </c>
      <c r="B270" s="41">
        <v>129733</v>
      </c>
      <c r="C270" s="40" t="s">
        <v>349</v>
      </c>
      <c r="D270" s="40"/>
      <c r="E270" s="40">
        <v>20240123</v>
      </c>
      <c r="F270" s="40">
        <v>20260221</v>
      </c>
      <c r="G270" s="41" t="s">
        <v>283</v>
      </c>
      <c r="H270" s="40" t="s">
        <v>295</v>
      </c>
      <c r="I270" s="40" t="s">
        <v>22</v>
      </c>
      <c r="J270" s="40" t="s">
        <v>58</v>
      </c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28">
        <f t="shared" si="5"/>
        <v>0</v>
      </c>
      <c r="AN270" s="28"/>
    </row>
    <row r="271" spans="1:40">
      <c r="A271" s="28">
        <v>269</v>
      </c>
      <c r="B271" s="29">
        <v>129789</v>
      </c>
      <c r="C271" s="28" t="s">
        <v>352</v>
      </c>
      <c r="D271" s="28"/>
      <c r="E271" s="28">
        <v>20240130</v>
      </c>
      <c r="F271" s="28"/>
      <c r="G271" s="29" t="s">
        <v>283</v>
      </c>
      <c r="H271" s="28" t="s">
        <v>295</v>
      </c>
      <c r="I271" s="28" t="s">
        <v>22</v>
      </c>
      <c r="J271" s="28" t="s">
        <v>54</v>
      </c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28">
        <f t="shared" si="5"/>
        <v>0</v>
      </c>
      <c r="AN271" s="28"/>
    </row>
    <row r="272" spans="1:40">
      <c r="A272" s="28">
        <v>270</v>
      </c>
      <c r="B272" s="29">
        <v>130252</v>
      </c>
      <c r="C272" s="28" t="s">
        <v>354</v>
      </c>
      <c r="D272" s="28"/>
      <c r="E272" s="28">
        <v>20240319</v>
      </c>
      <c r="F272" s="28"/>
      <c r="G272" s="29" t="s">
        <v>283</v>
      </c>
      <c r="H272" s="28" t="s">
        <v>295</v>
      </c>
      <c r="I272" s="28" t="s">
        <v>22</v>
      </c>
      <c r="J272" s="28" t="s">
        <v>58</v>
      </c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28">
        <f t="shared" si="5"/>
        <v>0</v>
      </c>
      <c r="AN272" s="28"/>
    </row>
    <row r="273" spans="1:40">
      <c r="A273" s="28">
        <v>271</v>
      </c>
      <c r="B273" s="29">
        <v>131619</v>
      </c>
      <c r="C273" s="28" t="s">
        <v>364</v>
      </c>
      <c r="D273" s="28"/>
      <c r="E273" s="28">
        <v>20240827</v>
      </c>
      <c r="F273" s="28"/>
      <c r="G273" s="29" t="s">
        <v>283</v>
      </c>
      <c r="H273" s="28" t="s">
        <v>295</v>
      </c>
      <c r="I273" s="28" t="s">
        <v>22</v>
      </c>
      <c r="J273" s="28" t="s">
        <v>58</v>
      </c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28">
        <f t="shared" si="5"/>
        <v>0</v>
      </c>
      <c r="AN273" s="28"/>
    </row>
    <row r="274" spans="1:40">
      <c r="A274" s="28">
        <v>272</v>
      </c>
      <c r="B274" s="29">
        <v>133374</v>
      </c>
      <c r="C274" s="28" t="s">
        <v>376</v>
      </c>
      <c r="D274" s="28"/>
      <c r="E274" s="28">
        <v>20241220</v>
      </c>
      <c r="F274" s="28"/>
      <c r="G274" s="29" t="s">
        <v>283</v>
      </c>
      <c r="H274" s="28" t="s">
        <v>295</v>
      </c>
      <c r="I274" s="28" t="s">
        <v>22</v>
      </c>
      <c r="J274" s="28" t="s">
        <v>58</v>
      </c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28">
        <f t="shared" si="5"/>
        <v>0</v>
      </c>
      <c r="AN274" s="28"/>
    </row>
    <row r="275" spans="1:40">
      <c r="A275" s="28">
        <v>273</v>
      </c>
      <c r="B275" s="29">
        <v>133701</v>
      </c>
      <c r="C275" s="28" t="s">
        <v>382</v>
      </c>
      <c r="D275" s="28"/>
      <c r="E275" s="28">
        <v>20250203</v>
      </c>
      <c r="F275" s="28"/>
      <c r="G275" s="29" t="s">
        <v>283</v>
      </c>
      <c r="H275" s="28" t="s">
        <v>295</v>
      </c>
      <c r="I275" s="28" t="s">
        <v>22</v>
      </c>
      <c r="J275" s="28" t="s">
        <v>54</v>
      </c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28">
        <f t="shared" si="5"/>
        <v>0</v>
      </c>
      <c r="AN275" s="28"/>
    </row>
    <row r="276" spans="1:40">
      <c r="A276" s="28">
        <v>274</v>
      </c>
      <c r="B276" s="29">
        <v>134933</v>
      </c>
      <c r="C276" s="28" t="s">
        <v>301</v>
      </c>
      <c r="D276" s="28"/>
      <c r="E276" s="28">
        <v>20250522</v>
      </c>
      <c r="F276" s="28"/>
      <c r="G276" s="29" t="s">
        <v>283</v>
      </c>
      <c r="H276" s="28" t="s">
        <v>295</v>
      </c>
      <c r="I276" s="28" t="s">
        <v>22</v>
      </c>
      <c r="J276" s="28" t="s">
        <v>54</v>
      </c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28">
        <f t="shared" si="5"/>
        <v>0</v>
      </c>
      <c r="AN276" s="28"/>
    </row>
    <row r="277" spans="1:40">
      <c r="A277" s="28">
        <v>275</v>
      </c>
      <c r="B277" s="29">
        <v>135622</v>
      </c>
      <c r="C277" s="28" t="s">
        <v>377</v>
      </c>
      <c r="D277" s="28"/>
      <c r="E277" s="28">
        <v>20251014</v>
      </c>
      <c r="F277" s="28"/>
      <c r="G277" s="29" t="s">
        <v>283</v>
      </c>
      <c r="H277" s="28" t="s">
        <v>295</v>
      </c>
      <c r="I277" s="28" t="s">
        <v>22</v>
      </c>
      <c r="J277" s="28" t="s">
        <v>58</v>
      </c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28">
        <f t="shared" si="5"/>
        <v>0</v>
      </c>
      <c r="AN277" s="28"/>
    </row>
    <row r="278" spans="1:40">
      <c r="A278" s="28">
        <v>276</v>
      </c>
      <c r="B278" s="29">
        <v>135826</v>
      </c>
      <c r="C278" s="28" t="s">
        <v>413</v>
      </c>
      <c r="D278" s="28"/>
      <c r="E278" s="28">
        <v>20251125</v>
      </c>
      <c r="F278" s="28"/>
      <c r="G278" s="29" t="s">
        <v>283</v>
      </c>
      <c r="H278" s="28" t="s">
        <v>295</v>
      </c>
      <c r="I278" s="28" t="s">
        <v>22</v>
      </c>
      <c r="J278" s="28" t="s">
        <v>54</v>
      </c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28">
        <f t="shared" si="5"/>
        <v>0</v>
      </c>
      <c r="AN278" s="28"/>
    </row>
    <row r="279" spans="1:40">
      <c r="A279" s="28">
        <v>277</v>
      </c>
      <c r="B279" s="29">
        <v>136004</v>
      </c>
      <c r="C279" s="28" t="s">
        <v>418</v>
      </c>
      <c r="D279" s="28"/>
      <c r="E279" s="28">
        <v>20260113</v>
      </c>
      <c r="F279" s="28"/>
      <c r="G279" s="29" t="s">
        <v>283</v>
      </c>
      <c r="H279" s="28" t="s">
        <v>295</v>
      </c>
      <c r="I279" s="28" t="s">
        <v>22</v>
      </c>
      <c r="J279" s="28" t="s">
        <v>54</v>
      </c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28">
        <f t="shared" si="5"/>
        <v>0</v>
      </c>
      <c r="AN279" s="28"/>
    </row>
    <row r="280" spans="1:40">
      <c r="A280" s="28">
        <v>278</v>
      </c>
      <c r="B280" s="29">
        <v>108153</v>
      </c>
      <c r="C280" s="28" t="s">
        <v>306</v>
      </c>
      <c r="D280" s="28"/>
      <c r="E280" s="28">
        <v>20170502</v>
      </c>
      <c r="F280" s="28"/>
      <c r="G280" s="29" t="s">
        <v>283</v>
      </c>
      <c r="H280" s="28" t="s">
        <v>307</v>
      </c>
      <c r="I280" s="28" t="s">
        <v>308</v>
      </c>
      <c r="J280" s="28" t="s">
        <v>54</v>
      </c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28">
        <f t="shared" si="5"/>
        <v>0</v>
      </c>
      <c r="AN280" s="28"/>
    </row>
    <row r="281" spans="1:40">
      <c r="A281" s="28">
        <v>279</v>
      </c>
      <c r="B281" s="29">
        <v>109836</v>
      </c>
      <c r="C281" s="28" t="s">
        <v>317</v>
      </c>
      <c r="D281" s="28"/>
      <c r="E281" s="28">
        <v>20170926</v>
      </c>
      <c r="F281" s="28"/>
      <c r="G281" s="29" t="s">
        <v>283</v>
      </c>
      <c r="H281" s="28" t="s">
        <v>307</v>
      </c>
      <c r="I281" s="28" t="s">
        <v>308</v>
      </c>
      <c r="J281" s="28" t="s">
        <v>54</v>
      </c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28">
        <f t="shared" si="5"/>
        <v>0</v>
      </c>
      <c r="AN281" s="28"/>
    </row>
    <row r="282" spans="1:40">
      <c r="A282" s="28">
        <v>280</v>
      </c>
      <c r="B282" s="29">
        <v>126139</v>
      </c>
      <c r="C282" s="28" t="s">
        <v>335</v>
      </c>
      <c r="D282" s="28"/>
      <c r="E282" s="28">
        <v>20220322</v>
      </c>
      <c r="F282" s="28"/>
      <c r="G282" s="29" t="s">
        <v>283</v>
      </c>
      <c r="H282" s="28" t="s">
        <v>307</v>
      </c>
      <c r="I282" s="28" t="s">
        <v>308</v>
      </c>
      <c r="J282" s="28" t="s">
        <v>54</v>
      </c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28">
        <f t="shared" si="5"/>
        <v>0</v>
      </c>
      <c r="AN282" s="28"/>
    </row>
    <row r="283" spans="1:40">
      <c r="A283" s="28">
        <v>281</v>
      </c>
      <c r="B283" s="29">
        <v>127491</v>
      </c>
      <c r="C283" s="28" t="s">
        <v>339</v>
      </c>
      <c r="D283" s="28"/>
      <c r="E283" s="28">
        <v>20220609</v>
      </c>
      <c r="F283" s="28"/>
      <c r="G283" s="29" t="s">
        <v>283</v>
      </c>
      <c r="H283" s="28" t="s">
        <v>307</v>
      </c>
      <c r="I283" s="28" t="s">
        <v>308</v>
      </c>
      <c r="J283" s="28" t="s">
        <v>54</v>
      </c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28">
        <f t="shared" si="5"/>
        <v>0</v>
      </c>
      <c r="AN283" s="28"/>
    </row>
    <row r="284" spans="1:40">
      <c r="A284" s="28">
        <v>282</v>
      </c>
      <c r="B284" s="29">
        <v>127941</v>
      </c>
      <c r="C284" s="28" t="s">
        <v>344</v>
      </c>
      <c r="D284" s="28"/>
      <c r="E284" s="28">
        <v>20220628</v>
      </c>
      <c r="F284" s="28"/>
      <c r="G284" s="29" t="s">
        <v>283</v>
      </c>
      <c r="H284" s="28" t="s">
        <v>307</v>
      </c>
      <c r="I284" s="28" t="s">
        <v>308</v>
      </c>
      <c r="J284" s="28" t="s">
        <v>54</v>
      </c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28">
        <f t="shared" si="5"/>
        <v>0</v>
      </c>
      <c r="AN284" s="28"/>
    </row>
    <row r="285" spans="1:40">
      <c r="A285" s="28">
        <v>283</v>
      </c>
      <c r="B285" s="29">
        <v>128344</v>
      </c>
      <c r="C285" s="28" t="s">
        <v>345</v>
      </c>
      <c r="D285" s="28"/>
      <c r="E285" s="28">
        <v>20220728</v>
      </c>
      <c r="F285" s="28"/>
      <c r="G285" s="29" t="s">
        <v>283</v>
      </c>
      <c r="H285" s="28" t="s">
        <v>307</v>
      </c>
      <c r="I285" s="28" t="s">
        <v>308</v>
      </c>
      <c r="J285" s="28" t="s">
        <v>54</v>
      </c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28">
        <f t="shared" si="5"/>
        <v>0</v>
      </c>
      <c r="AN285" s="28"/>
    </row>
    <row r="286" spans="1:40">
      <c r="A286" s="28">
        <v>284</v>
      </c>
      <c r="B286" s="29">
        <v>131860</v>
      </c>
      <c r="C286" s="28" t="s">
        <v>365</v>
      </c>
      <c r="D286" s="28"/>
      <c r="E286" s="28">
        <v>20240909</v>
      </c>
      <c r="F286" s="28"/>
      <c r="G286" s="29" t="s">
        <v>283</v>
      </c>
      <c r="H286" s="28" t="s">
        <v>307</v>
      </c>
      <c r="I286" s="28" t="s">
        <v>308</v>
      </c>
      <c r="J286" s="28" t="s">
        <v>54</v>
      </c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28">
        <f t="shared" si="5"/>
        <v>0</v>
      </c>
      <c r="AN286" s="28"/>
    </row>
    <row r="287" spans="1:40">
      <c r="A287" s="28">
        <v>285</v>
      </c>
      <c r="B287" s="29">
        <v>133574</v>
      </c>
      <c r="C287" s="28" t="s">
        <v>381</v>
      </c>
      <c r="D287" s="28"/>
      <c r="E287" s="28">
        <v>20250115</v>
      </c>
      <c r="F287" s="28"/>
      <c r="G287" s="29" t="s">
        <v>283</v>
      </c>
      <c r="H287" s="28" t="s">
        <v>307</v>
      </c>
      <c r="I287" s="28" t="s">
        <v>308</v>
      </c>
      <c r="J287" s="28" t="s">
        <v>54</v>
      </c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28">
        <f t="shared" si="5"/>
        <v>0</v>
      </c>
      <c r="AN287" s="28"/>
    </row>
    <row r="288" spans="1:40">
      <c r="A288" s="28">
        <v>286</v>
      </c>
      <c r="B288" s="29">
        <v>133702</v>
      </c>
      <c r="C288" s="28" t="s">
        <v>383</v>
      </c>
      <c r="D288" s="28"/>
      <c r="E288" s="28">
        <v>20250203</v>
      </c>
      <c r="F288" s="28"/>
      <c r="G288" s="29" t="s">
        <v>283</v>
      </c>
      <c r="H288" s="28" t="s">
        <v>307</v>
      </c>
      <c r="I288" s="28" t="s">
        <v>308</v>
      </c>
      <c r="J288" s="28" t="s">
        <v>54</v>
      </c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28">
        <f t="shared" si="5"/>
        <v>0</v>
      </c>
      <c r="AN288" s="28"/>
    </row>
    <row r="289" spans="1:40">
      <c r="A289" s="28">
        <v>287</v>
      </c>
      <c r="B289" s="29">
        <v>134929</v>
      </c>
      <c r="C289" s="28" t="s">
        <v>398</v>
      </c>
      <c r="D289" s="28"/>
      <c r="E289" s="28">
        <v>20250520</v>
      </c>
      <c r="F289" s="28"/>
      <c r="G289" s="29" t="s">
        <v>283</v>
      </c>
      <c r="H289" s="28" t="s">
        <v>307</v>
      </c>
      <c r="I289" s="28" t="s">
        <v>308</v>
      </c>
      <c r="J289" s="28" t="s">
        <v>54</v>
      </c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28">
        <f t="shared" si="5"/>
        <v>0</v>
      </c>
      <c r="AN289" s="28"/>
    </row>
    <row r="290" spans="1:40">
      <c r="A290" s="28">
        <v>288</v>
      </c>
      <c r="B290" s="29">
        <v>134930</v>
      </c>
      <c r="C290" s="28" t="s">
        <v>399</v>
      </c>
      <c r="D290" s="28"/>
      <c r="E290" s="28">
        <v>20250520</v>
      </c>
      <c r="F290" s="28"/>
      <c r="G290" s="29" t="s">
        <v>283</v>
      </c>
      <c r="H290" s="28" t="s">
        <v>307</v>
      </c>
      <c r="I290" s="28" t="s">
        <v>308</v>
      </c>
      <c r="J290" s="28" t="s">
        <v>58</v>
      </c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28">
        <f t="shared" si="5"/>
        <v>0</v>
      </c>
      <c r="AN290" s="28"/>
    </row>
    <row r="291" spans="1:40">
      <c r="A291" s="28">
        <v>289</v>
      </c>
      <c r="B291" s="29">
        <v>135381</v>
      </c>
      <c r="C291" s="28" t="s">
        <v>405</v>
      </c>
      <c r="D291" s="28"/>
      <c r="E291" s="28">
        <v>20250901</v>
      </c>
      <c r="F291" s="28"/>
      <c r="G291" s="29" t="s">
        <v>283</v>
      </c>
      <c r="H291" s="28" t="s">
        <v>307</v>
      </c>
      <c r="I291" s="28" t="s">
        <v>308</v>
      </c>
      <c r="J291" s="28" t="s">
        <v>54</v>
      </c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28">
        <f t="shared" si="5"/>
        <v>0</v>
      </c>
      <c r="AN291" s="28"/>
    </row>
    <row r="292" spans="1:40">
      <c r="A292" s="28">
        <v>290</v>
      </c>
      <c r="B292" s="29">
        <v>135830</v>
      </c>
      <c r="C292" s="28" t="s">
        <v>414</v>
      </c>
      <c r="D292" s="28"/>
      <c r="E292" s="28">
        <v>20251204</v>
      </c>
      <c r="F292" s="28"/>
      <c r="G292" s="29" t="s">
        <v>283</v>
      </c>
      <c r="H292" s="28" t="s">
        <v>307</v>
      </c>
      <c r="I292" s="28" t="s">
        <v>308</v>
      </c>
      <c r="J292" s="28" t="s">
        <v>54</v>
      </c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28">
        <f t="shared" si="5"/>
        <v>0</v>
      </c>
      <c r="AN292" s="28"/>
    </row>
    <row r="293" spans="1:40">
      <c r="A293" s="28">
        <v>291</v>
      </c>
      <c r="B293" s="29">
        <v>700137</v>
      </c>
      <c r="C293" s="28" t="s">
        <v>424</v>
      </c>
      <c r="D293" s="28"/>
      <c r="E293" s="28">
        <v>20180607</v>
      </c>
      <c r="F293" s="28"/>
      <c r="G293" s="29" t="s">
        <v>283</v>
      </c>
      <c r="H293" s="28" t="s">
        <v>307</v>
      </c>
      <c r="I293" s="28" t="s">
        <v>308</v>
      </c>
      <c r="J293" s="28" t="s">
        <v>54</v>
      </c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28">
        <f t="shared" si="5"/>
        <v>0</v>
      </c>
      <c r="AN293" s="28"/>
    </row>
    <row r="294" spans="1:40">
      <c r="A294" s="28">
        <v>292</v>
      </c>
      <c r="B294" s="29">
        <v>701200</v>
      </c>
      <c r="C294" s="28" t="s">
        <v>426</v>
      </c>
      <c r="D294" s="28"/>
      <c r="E294" s="28">
        <v>20200514</v>
      </c>
      <c r="F294" s="28"/>
      <c r="G294" s="29" t="s">
        <v>283</v>
      </c>
      <c r="H294" s="28" t="s">
        <v>307</v>
      </c>
      <c r="I294" s="28" t="s">
        <v>308</v>
      </c>
      <c r="J294" s="28" t="s">
        <v>54</v>
      </c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28">
        <f t="shared" si="5"/>
        <v>0</v>
      </c>
      <c r="AN294" s="28"/>
    </row>
    <row r="295" spans="1:40">
      <c r="A295" s="28">
        <v>293</v>
      </c>
      <c r="B295" s="29">
        <v>701672</v>
      </c>
      <c r="C295" s="28" t="s">
        <v>427</v>
      </c>
      <c r="D295" s="28"/>
      <c r="E295" s="28">
        <v>20220222</v>
      </c>
      <c r="F295" s="28"/>
      <c r="G295" s="29" t="s">
        <v>283</v>
      </c>
      <c r="H295" s="28" t="s">
        <v>307</v>
      </c>
      <c r="I295" s="28" t="s">
        <v>308</v>
      </c>
      <c r="J295" s="28" t="s">
        <v>54</v>
      </c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28">
        <f t="shared" si="5"/>
        <v>0</v>
      </c>
      <c r="AN295" s="28"/>
    </row>
    <row r="296" spans="1:40">
      <c r="A296" s="28">
        <v>294</v>
      </c>
      <c r="B296" s="29">
        <v>100324</v>
      </c>
      <c r="C296" s="28" t="s">
        <v>287</v>
      </c>
      <c r="D296" s="28"/>
      <c r="E296" s="28">
        <v>20150512</v>
      </c>
      <c r="F296" s="28"/>
      <c r="G296" s="29" t="s">
        <v>283</v>
      </c>
      <c r="H296" s="28" t="s">
        <v>288</v>
      </c>
      <c r="I296" s="28" t="s">
        <v>289</v>
      </c>
      <c r="J296" s="28" t="s">
        <v>54</v>
      </c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28">
        <f t="shared" si="5"/>
        <v>0</v>
      </c>
      <c r="AN296" s="28"/>
    </row>
    <row r="297" spans="1:40">
      <c r="A297" s="28">
        <v>295</v>
      </c>
      <c r="B297" s="29">
        <v>101531</v>
      </c>
      <c r="C297" s="28" t="s">
        <v>296</v>
      </c>
      <c r="D297" s="28"/>
      <c r="E297" s="28">
        <v>20151229</v>
      </c>
      <c r="F297" s="28"/>
      <c r="G297" s="29" t="s">
        <v>283</v>
      </c>
      <c r="H297" s="28" t="s">
        <v>288</v>
      </c>
      <c r="I297" s="28" t="s">
        <v>289</v>
      </c>
      <c r="J297" s="28" t="s">
        <v>54</v>
      </c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28">
        <f t="shared" si="5"/>
        <v>0</v>
      </c>
      <c r="AN297" s="28"/>
    </row>
    <row r="298" spans="1:40">
      <c r="A298" s="28">
        <v>296</v>
      </c>
      <c r="B298" s="29">
        <v>115513</v>
      </c>
      <c r="C298" s="28" t="s">
        <v>322</v>
      </c>
      <c r="D298" s="28"/>
      <c r="E298" s="28">
        <v>20190704</v>
      </c>
      <c r="F298" s="28"/>
      <c r="G298" s="29" t="s">
        <v>283</v>
      </c>
      <c r="H298" s="28" t="s">
        <v>288</v>
      </c>
      <c r="I298" s="28" t="s">
        <v>289</v>
      </c>
      <c r="J298" s="28" t="s">
        <v>54</v>
      </c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28">
        <f t="shared" si="5"/>
        <v>0</v>
      </c>
      <c r="AN298" s="28"/>
    </row>
    <row r="299" spans="1:40">
      <c r="A299" s="28">
        <v>297</v>
      </c>
      <c r="B299" s="29">
        <v>130035</v>
      </c>
      <c r="C299" s="28" t="s">
        <v>353</v>
      </c>
      <c r="D299" s="28"/>
      <c r="E299" s="28">
        <v>20240305</v>
      </c>
      <c r="F299" s="28"/>
      <c r="G299" s="29" t="s">
        <v>283</v>
      </c>
      <c r="H299" s="28" t="s">
        <v>288</v>
      </c>
      <c r="I299" s="28" t="s">
        <v>289</v>
      </c>
      <c r="J299" s="28" t="s">
        <v>54</v>
      </c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28">
        <f t="shared" si="5"/>
        <v>0</v>
      </c>
      <c r="AN299" s="28"/>
    </row>
    <row r="300" spans="1:40">
      <c r="A300" s="28">
        <v>298</v>
      </c>
      <c r="B300" s="29">
        <v>131015</v>
      </c>
      <c r="C300" s="28" t="s">
        <v>362</v>
      </c>
      <c r="D300" s="28"/>
      <c r="E300" s="28">
        <v>20240711</v>
      </c>
      <c r="F300" s="28"/>
      <c r="G300" s="29" t="s">
        <v>283</v>
      </c>
      <c r="H300" s="28" t="s">
        <v>288</v>
      </c>
      <c r="I300" s="28" t="s">
        <v>289</v>
      </c>
      <c r="J300" s="28" t="s">
        <v>54</v>
      </c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28">
        <f t="shared" si="5"/>
        <v>0</v>
      </c>
      <c r="AN300" s="28"/>
    </row>
    <row r="301" spans="1:40">
      <c r="A301" s="28">
        <v>299</v>
      </c>
      <c r="B301" s="29">
        <v>133041</v>
      </c>
      <c r="C301" s="28" t="s">
        <v>374</v>
      </c>
      <c r="D301" s="28"/>
      <c r="E301" s="28">
        <v>20241119</v>
      </c>
      <c r="F301" s="28"/>
      <c r="G301" s="29" t="s">
        <v>283</v>
      </c>
      <c r="H301" s="28" t="s">
        <v>288</v>
      </c>
      <c r="I301" s="28" t="s">
        <v>289</v>
      </c>
      <c r="J301" s="28" t="s">
        <v>54</v>
      </c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28">
        <f t="shared" si="5"/>
        <v>0</v>
      </c>
      <c r="AN301" s="28"/>
    </row>
    <row r="302" spans="1:40">
      <c r="A302" s="28">
        <v>300</v>
      </c>
      <c r="B302" s="29">
        <v>134042</v>
      </c>
      <c r="C302" s="28" t="s">
        <v>373</v>
      </c>
      <c r="D302" s="28"/>
      <c r="E302" s="28">
        <v>20250305</v>
      </c>
      <c r="F302" s="28"/>
      <c r="G302" s="29" t="s">
        <v>283</v>
      </c>
      <c r="H302" s="28" t="s">
        <v>288</v>
      </c>
      <c r="I302" s="28" t="s">
        <v>289</v>
      </c>
      <c r="J302" s="28" t="s">
        <v>54</v>
      </c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28">
        <f t="shared" si="5"/>
        <v>0</v>
      </c>
      <c r="AN302" s="28"/>
    </row>
    <row r="303" spans="1:40">
      <c r="A303" s="28">
        <v>301</v>
      </c>
      <c r="B303" s="29">
        <v>134400</v>
      </c>
      <c r="C303" s="28" t="s">
        <v>394</v>
      </c>
      <c r="D303" s="28"/>
      <c r="E303" s="28">
        <v>20250423</v>
      </c>
      <c r="F303" s="28"/>
      <c r="G303" s="29" t="s">
        <v>283</v>
      </c>
      <c r="H303" s="28" t="s">
        <v>288</v>
      </c>
      <c r="I303" s="28" t="s">
        <v>289</v>
      </c>
      <c r="J303" s="28" t="s">
        <v>54</v>
      </c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28">
        <f t="shared" si="5"/>
        <v>0</v>
      </c>
      <c r="AN303" s="28"/>
    </row>
    <row r="304" spans="1:40">
      <c r="A304" s="28">
        <v>302</v>
      </c>
      <c r="B304" s="29">
        <v>134931</v>
      </c>
      <c r="C304" s="28" t="s">
        <v>305</v>
      </c>
      <c r="D304" s="28"/>
      <c r="E304" s="28">
        <v>20250520</v>
      </c>
      <c r="F304" s="28"/>
      <c r="G304" s="29" t="s">
        <v>283</v>
      </c>
      <c r="H304" s="28" t="s">
        <v>288</v>
      </c>
      <c r="I304" s="28" t="s">
        <v>289</v>
      </c>
      <c r="J304" s="28" t="s">
        <v>54</v>
      </c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28">
        <f t="shared" si="5"/>
        <v>0</v>
      </c>
      <c r="AN304" s="28"/>
    </row>
    <row r="305" spans="1:40">
      <c r="A305" s="28">
        <v>303</v>
      </c>
      <c r="B305" s="29">
        <v>135023</v>
      </c>
      <c r="C305" s="28" t="s">
        <v>338</v>
      </c>
      <c r="D305" s="28"/>
      <c r="E305" s="28">
        <v>20250626</v>
      </c>
      <c r="F305" s="28"/>
      <c r="G305" s="29" t="s">
        <v>283</v>
      </c>
      <c r="H305" s="28" t="s">
        <v>288</v>
      </c>
      <c r="I305" s="28" t="s">
        <v>289</v>
      </c>
      <c r="J305" s="28" t="s">
        <v>54</v>
      </c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28">
        <f t="shared" si="5"/>
        <v>0</v>
      </c>
      <c r="AN305" s="28"/>
    </row>
    <row r="306" spans="1:40">
      <c r="A306" s="28">
        <v>304</v>
      </c>
      <c r="B306" s="29">
        <v>135024</v>
      </c>
      <c r="C306" s="28" t="s">
        <v>402</v>
      </c>
      <c r="D306" s="28"/>
      <c r="E306" s="28">
        <v>20250626</v>
      </c>
      <c r="F306" s="28"/>
      <c r="G306" s="29" t="s">
        <v>283</v>
      </c>
      <c r="H306" s="28" t="s">
        <v>288</v>
      </c>
      <c r="I306" s="28" t="s">
        <v>289</v>
      </c>
      <c r="J306" s="28" t="s">
        <v>54</v>
      </c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28">
        <f t="shared" si="5"/>
        <v>0</v>
      </c>
      <c r="AN306" s="28"/>
    </row>
    <row r="307" spans="1:40">
      <c r="A307" s="28">
        <v>305</v>
      </c>
      <c r="B307" s="29">
        <v>136015</v>
      </c>
      <c r="C307" s="28" t="s">
        <v>417</v>
      </c>
      <c r="D307" s="28"/>
      <c r="E307" s="28">
        <v>20260115</v>
      </c>
      <c r="F307" s="28"/>
      <c r="G307" s="29" t="s">
        <v>283</v>
      </c>
      <c r="H307" s="28" t="s">
        <v>288</v>
      </c>
      <c r="I307" s="28" t="s">
        <v>289</v>
      </c>
      <c r="J307" s="28" t="s">
        <v>58</v>
      </c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28">
        <f t="shared" si="5"/>
        <v>0</v>
      </c>
      <c r="AN307" s="28"/>
    </row>
    <row r="308" spans="1:40">
      <c r="A308" s="28">
        <v>306</v>
      </c>
      <c r="B308" s="29">
        <v>136016</v>
      </c>
      <c r="C308" s="28" t="s">
        <v>419</v>
      </c>
      <c r="D308" s="28"/>
      <c r="E308" s="28">
        <v>20260115</v>
      </c>
      <c r="F308" s="28"/>
      <c r="G308" s="29" t="s">
        <v>283</v>
      </c>
      <c r="H308" s="28" t="s">
        <v>288</v>
      </c>
      <c r="I308" s="28" t="s">
        <v>289</v>
      </c>
      <c r="J308" s="28" t="s">
        <v>54</v>
      </c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28">
        <f t="shared" si="5"/>
        <v>0</v>
      </c>
      <c r="AN308" s="28"/>
    </row>
    <row r="309" spans="1:40">
      <c r="A309" s="28">
        <v>307</v>
      </c>
      <c r="B309" s="29">
        <v>104727</v>
      </c>
      <c r="C309" s="28" t="s">
        <v>302</v>
      </c>
      <c r="D309" s="28"/>
      <c r="E309" s="28">
        <v>20161003</v>
      </c>
      <c r="F309" s="28"/>
      <c r="G309" s="29" t="s">
        <v>283</v>
      </c>
      <c r="H309" s="28" t="s">
        <v>303</v>
      </c>
      <c r="I309" s="28" t="s">
        <v>304</v>
      </c>
      <c r="J309" s="28" t="s">
        <v>54</v>
      </c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28">
        <f t="shared" si="5"/>
        <v>0</v>
      </c>
      <c r="AN309" s="28"/>
    </row>
    <row r="310" spans="1:40">
      <c r="A310" s="28">
        <v>308</v>
      </c>
      <c r="B310" s="29">
        <v>118025</v>
      </c>
      <c r="C310" s="28" t="s">
        <v>325</v>
      </c>
      <c r="D310" s="28"/>
      <c r="E310" s="28">
        <v>20191024</v>
      </c>
      <c r="F310" s="28"/>
      <c r="G310" s="29" t="s">
        <v>283</v>
      </c>
      <c r="H310" s="28" t="s">
        <v>303</v>
      </c>
      <c r="I310" s="28" t="s">
        <v>304</v>
      </c>
      <c r="J310" s="28" t="s">
        <v>54</v>
      </c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28">
        <f t="shared" si="5"/>
        <v>0</v>
      </c>
      <c r="AN310" s="28"/>
    </row>
    <row r="311" spans="1:40">
      <c r="A311" s="28">
        <v>309</v>
      </c>
      <c r="B311" s="29">
        <v>120782</v>
      </c>
      <c r="C311" s="28" t="s">
        <v>332</v>
      </c>
      <c r="D311" s="28"/>
      <c r="E311" s="28">
        <v>20200507</v>
      </c>
      <c r="F311" s="28"/>
      <c r="G311" s="29" t="s">
        <v>283</v>
      </c>
      <c r="H311" s="28" t="s">
        <v>303</v>
      </c>
      <c r="I311" s="28" t="s">
        <v>304</v>
      </c>
      <c r="J311" s="28" t="s">
        <v>54</v>
      </c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28">
        <f t="shared" si="5"/>
        <v>0</v>
      </c>
      <c r="AN311" s="28"/>
    </row>
    <row r="312" spans="1:40">
      <c r="A312" s="28">
        <v>310</v>
      </c>
      <c r="B312" s="41">
        <v>131864</v>
      </c>
      <c r="C312" s="40" t="s">
        <v>366</v>
      </c>
      <c r="D312" s="40"/>
      <c r="E312" s="40">
        <v>20240909</v>
      </c>
      <c r="F312" s="40">
        <v>20260201</v>
      </c>
      <c r="G312" s="41" t="s">
        <v>283</v>
      </c>
      <c r="H312" s="40" t="s">
        <v>303</v>
      </c>
      <c r="I312" s="40" t="s">
        <v>304</v>
      </c>
      <c r="J312" s="40" t="s">
        <v>54</v>
      </c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28">
        <f t="shared" si="5"/>
        <v>0</v>
      </c>
      <c r="AN312" s="28"/>
    </row>
    <row r="313" spans="1:40">
      <c r="A313" s="28">
        <v>311</v>
      </c>
      <c r="B313" s="29">
        <v>132248</v>
      </c>
      <c r="C313" s="28" t="s">
        <v>367</v>
      </c>
      <c r="D313" s="28"/>
      <c r="E313" s="28">
        <v>20241001</v>
      </c>
      <c r="F313" s="28"/>
      <c r="G313" s="29" t="s">
        <v>283</v>
      </c>
      <c r="H313" s="28" t="s">
        <v>303</v>
      </c>
      <c r="I313" s="28" t="s">
        <v>304</v>
      </c>
      <c r="J313" s="28" t="s">
        <v>54</v>
      </c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28">
        <f t="shared" ref="AM313:AM334" si="6">SUM(K313:AL313)</f>
        <v>0</v>
      </c>
      <c r="AN313" s="28"/>
    </row>
    <row r="314" spans="1:40">
      <c r="A314" s="28">
        <v>312</v>
      </c>
      <c r="B314" s="29">
        <v>133748</v>
      </c>
      <c r="C314" s="28" t="s">
        <v>384</v>
      </c>
      <c r="D314" s="28"/>
      <c r="E314" s="28">
        <v>20250210</v>
      </c>
      <c r="F314" s="28"/>
      <c r="G314" s="29" t="s">
        <v>283</v>
      </c>
      <c r="H314" s="28" t="s">
        <v>303</v>
      </c>
      <c r="I314" s="28" t="s">
        <v>304</v>
      </c>
      <c r="J314" s="28" t="s">
        <v>54</v>
      </c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28">
        <f t="shared" si="6"/>
        <v>0</v>
      </c>
      <c r="AN314" s="28"/>
    </row>
    <row r="315" spans="1:40">
      <c r="A315" s="28">
        <v>313</v>
      </c>
      <c r="B315" s="29">
        <v>133991</v>
      </c>
      <c r="C315" s="28" t="s">
        <v>388</v>
      </c>
      <c r="D315" s="28"/>
      <c r="E315" s="28">
        <v>20250303</v>
      </c>
      <c r="F315" s="28"/>
      <c r="G315" s="29" t="s">
        <v>283</v>
      </c>
      <c r="H315" s="28" t="s">
        <v>303</v>
      </c>
      <c r="I315" s="28" t="s">
        <v>304</v>
      </c>
      <c r="J315" s="28" t="s">
        <v>58</v>
      </c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28">
        <f t="shared" si="6"/>
        <v>0</v>
      </c>
      <c r="AN315" s="28"/>
    </row>
    <row r="316" spans="1:40">
      <c r="A316" s="28">
        <v>314</v>
      </c>
      <c r="B316" s="29">
        <v>135824</v>
      </c>
      <c r="C316" s="28" t="s">
        <v>411</v>
      </c>
      <c r="D316" s="28"/>
      <c r="E316" s="28">
        <v>20251125</v>
      </c>
      <c r="F316" s="28"/>
      <c r="G316" s="29" t="s">
        <v>283</v>
      </c>
      <c r="H316" s="28" t="s">
        <v>303</v>
      </c>
      <c r="I316" s="28" t="s">
        <v>304</v>
      </c>
      <c r="J316" s="28" t="s">
        <v>54</v>
      </c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28">
        <f t="shared" si="6"/>
        <v>0</v>
      </c>
      <c r="AN316" s="28"/>
    </row>
    <row r="317" spans="1:40">
      <c r="A317" s="28">
        <v>315</v>
      </c>
      <c r="B317" s="45">
        <v>135825</v>
      </c>
      <c r="C317" s="44" t="s">
        <v>412</v>
      </c>
      <c r="D317" s="44"/>
      <c r="E317" s="44">
        <v>20251125</v>
      </c>
      <c r="F317" s="44">
        <v>20260205</v>
      </c>
      <c r="G317" s="45" t="s">
        <v>283</v>
      </c>
      <c r="H317" s="44" t="s">
        <v>303</v>
      </c>
      <c r="I317" s="44" t="s">
        <v>304</v>
      </c>
      <c r="J317" s="44" t="s">
        <v>54</v>
      </c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28">
        <f t="shared" si="6"/>
        <v>0</v>
      </c>
      <c r="AN317" s="28"/>
    </row>
    <row r="318" spans="1:40">
      <c r="A318" s="28">
        <v>316</v>
      </c>
      <c r="B318" s="29">
        <v>135891</v>
      </c>
      <c r="C318" s="28" t="s">
        <v>416</v>
      </c>
      <c r="D318" s="28"/>
      <c r="E318" s="28">
        <v>20251217</v>
      </c>
      <c r="F318" s="28"/>
      <c r="G318" s="29" t="s">
        <v>283</v>
      </c>
      <c r="H318" s="28" t="s">
        <v>303</v>
      </c>
      <c r="I318" s="28" t="s">
        <v>304</v>
      </c>
      <c r="J318" s="28" t="s">
        <v>58</v>
      </c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28">
        <f t="shared" si="6"/>
        <v>0</v>
      </c>
      <c r="AN318" s="28"/>
    </row>
    <row r="319" spans="1:40">
      <c r="A319" s="28">
        <v>317</v>
      </c>
      <c r="B319" s="29">
        <v>135892</v>
      </c>
      <c r="C319" s="28" t="s">
        <v>334</v>
      </c>
      <c r="D319" s="28"/>
      <c r="E319" s="28">
        <v>20251217</v>
      </c>
      <c r="F319" s="28"/>
      <c r="G319" s="29" t="s">
        <v>283</v>
      </c>
      <c r="H319" s="28" t="s">
        <v>303</v>
      </c>
      <c r="I319" s="28" t="s">
        <v>304</v>
      </c>
      <c r="J319" s="28" t="s">
        <v>54</v>
      </c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28">
        <f t="shared" si="6"/>
        <v>0</v>
      </c>
      <c r="AN319" s="28"/>
    </row>
    <row r="320" spans="1:40">
      <c r="A320" s="28">
        <v>318</v>
      </c>
      <c r="B320" s="29">
        <v>109188</v>
      </c>
      <c r="C320" s="28" t="s">
        <v>314</v>
      </c>
      <c r="D320" s="28"/>
      <c r="E320" s="28">
        <v>20170704</v>
      </c>
      <c r="F320" s="28"/>
      <c r="G320" s="29" t="s">
        <v>283</v>
      </c>
      <c r="H320" s="28" t="s">
        <v>315</v>
      </c>
      <c r="I320" s="28" t="s">
        <v>316</v>
      </c>
      <c r="J320" s="28" t="s">
        <v>54</v>
      </c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28">
        <f t="shared" si="6"/>
        <v>0</v>
      </c>
      <c r="AN320" s="28"/>
    </row>
    <row r="321" spans="1:40">
      <c r="A321" s="28">
        <v>319</v>
      </c>
      <c r="B321" s="29">
        <v>110451</v>
      </c>
      <c r="C321" s="28" t="s">
        <v>319</v>
      </c>
      <c r="D321" s="28"/>
      <c r="E321" s="28">
        <v>20180222</v>
      </c>
      <c r="F321" s="28"/>
      <c r="G321" s="29" t="s">
        <v>283</v>
      </c>
      <c r="H321" s="28" t="s">
        <v>315</v>
      </c>
      <c r="I321" s="28" t="s">
        <v>316</v>
      </c>
      <c r="J321" s="28" t="s">
        <v>58</v>
      </c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28">
        <f t="shared" si="6"/>
        <v>0</v>
      </c>
      <c r="AN321" s="28"/>
    </row>
    <row r="322" spans="1:40">
      <c r="A322" s="28">
        <v>320</v>
      </c>
      <c r="B322" s="29">
        <v>112008</v>
      </c>
      <c r="C322" s="28" t="s">
        <v>320</v>
      </c>
      <c r="D322" s="28"/>
      <c r="E322" s="28">
        <v>20180619</v>
      </c>
      <c r="F322" s="28"/>
      <c r="G322" s="29" t="s">
        <v>283</v>
      </c>
      <c r="H322" s="28" t="s">
        <v>315</v>
      </c>
      <c r="I322" s="28" t="s">
        <v>316</v>
      </c>
      <c r="J322" s="28" t="s">
        <v>58</v>
      </c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28">
        <f t="shared" si="6"/>
        <v>0</v>
      </c>
      <c r="AN322" s="28"/>
    </row>
    <row r="323" spans="1:40">
      <c r="A323" s="28">
        <v>321</v>
      </c>
      <c r="B323" s="29">
        <v>124548</v>
      </c>
      <c r="C323" s="28" t="s">
        <v>333</v>
      </c>
      <c r="D323" s="28"/>
      <c r="E323" s="28">
        <v>20220113</v>
      </c>
      <c r="F323" s="28"/>
      <c r="G323" s="29" t="s">
        <v>283</v>
      </c>
      <c r="H323" s="28" t="s">
        <v>315</v>
      </c>
      <c r="I323" s="28" t="s">
        <v>316</v>
      </c>
      <c r="J323" s="28" t="s">
        <v>54</v>
      </c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28">
        <f t="shared" si="6"/>
        <v>0</v>
      </c>
      <c r="AN323" s="28"/>
    </row>
    <row r="324" spans="1:40">
      <c r="A324" s="28">
        <v>322</v>
      </c>
      <c r="B324" s="29">
        <v>130305</v>
      </c>
      <c r="C324" s="28" t="s">
        <v>355</v>
      </c>
      <c r="D324" s="28"/>
      <c r="E324" s="28">
        <v>20240321</v>
      </c>
      <c r="F324" s="28"/>
      <c r="G324" s="29" t="s">
        <v>283</v>
      </c>
      <c r="H324" s="28" t="s">
        <v>315</v>
      </c>
      <c r="I324" s="28" t="s">
        <v>316</v>
      </c>
      <c r="J324" s="28" t="s">
        <v>58</v>
      </c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28">
        <f t="shared" si="6"/>
        <v>0</v>
      </c>
      <c r="AN324" s="28"/>
    </row>
    <row r="325" spans="1:40">
      <c r="A325" s="28">
        <v>323</v>
      </c>
      <c r="B325" s="29">
        <v>134934</v>
      </c>
      <c r="C325" s="28" t="s">
        <v>400</v>
      </c>
      <c r="D325" s="28"/>
      <c r="E325" s="28">
        <v>20250522</v>
      </c>
      <c r="F325" s="28"/>
      <c r="G325" s="29" t="s">
        <v>283</v>
      </c>
      <c r="H325" s="28" t="s">
        <v>315</v>
      </c>
      <c r="I325" s="28" t="s">
        <v>316</v>
      </c>
      <c r="J325" s="28" t="s">
        <v>54</v>
      </c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28">
        <f t="shared" si="6"/>
        <v>0</v>
      </c>
      <c r="AN325" s="28"/>
    </row>
    <row r="326" spans="1:40">
      <c r="A326" s="28">
        <v>324</v>
      </c>
      <c r="B326" s="41">
        <v>135038</v>
      </c>
      <c r="C326" s="40" t="s">
        <v>403</v>
      </c>
      <c r="D326" s="40"/>
      <c r="E326" s="40">
        <v>20250701</v>
      </c>
      <c r="F326" s="40">
        <v>20260228</v>
      </c>
      <c r="G326" s="41" t="s">
        <v>283</v>
      </c>
      <c r="H326" s="40" t="s">
        <v>315</v>
      </c>
      <c r="I326" s="40" t="s">
        <v>316</v>
      </c>
      <c r="J326" s="40" t="s">
        <v>54</v>
      </c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28">
        <f t="shared" si="6"/>
        <v>0</v>
      </c>
      <c r="AN326" s="28"/>
    </row>
    <row r="327" spans="1:40">
      <c r="A327" s="28">
        <v>325</v>
      </c>
      <c r="B327" s="29">
        <v>135507</v>
      </c>
      <c r="C327" s="28" t="s">
        <v>408</v>
      </c>
      <c r="D327" s="28"/>
      <c r="E327" s="28">
        <v>20250923</v>
      </c>
      <c r="F327" s="28"/>
      <c r="G327" s="29" t="s">
        <v>283</v>
      </c>
      <c r="H327" s="28" t="s">
        <v>315</v>
      </c>
      <c r="I327" s="28" t="s">
        <v>316</v>
      </c>
      <c r="J327" s="28" t="s">
        <v>58</v>
      </c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28">
        <f t="shared" si="6"/>
        <v>0</v>
      </c>
      <c r="AN327" s="28"/>
    </row>
    <row r="328" spans="1:40">
      <c r="A328" s="28">
        <v>326</v>
      </c>
      <c r="B328" s="29">
        <v>136272</v>
      </c>
      <c r="C328" s="28" t="s">
        <v>432</v>
      </c>
      <c r="D328" s="28"/>
      <c r="E328" s="28">
        <v>20260226</v>
      </c>
      <c r="F328" s="28"/>
      <c r="G328" s="29" t="s">
        <v>283</v>
      </c>
      <c r="H328" s="28" t="s">
        <v>315</v>
      </c>
      <c r="I328" s="28" t="s">
        <v>316</v>
      </c>
      <c r="J328" s="28" t="s">
        <v>54</v>
      </c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>
        <f t="shared" si="6"/>
        <v>0</v>
      </c>
      <c r="AN328" s="28"/>
    </row>
    <row r="329" spans="1:40">
      <c r="A329" s="28">
        <v>327</v>
      </c>
      <c r="B329" s="29">
        <v>127635</v>
      </c>
      <c r="C329" s="28" t="s">
        <v>340</v>
      </c>
      <c r="D329" s="28"/>
      <c r="E329" s="28">
        <v>20220614</v>
      </c>
      <c r="F329" s="28"/>
      <c r="G329" s="29" t="s">
        <v>283</v>
      </c>
      <c r="H329" s="28" t="s">
        <v>341</v>
      </c>
      <c r="I329" s="28" t="s">
        <v>133</v>
      </c>
      <c r="J329" s="28" t="s">
        <v>54</v>
      </c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28">
        <f t="shared" si="6"/>
        <v>0</v>
      </c>
      <c r="AN329" s="28"/>
    </row>
    <row r="330" spans="1:40">
      <c r="A330" s="28">
        <v>328</v>
      </c>
      <c r="B330" s="29">
        <v>132669</v>
      </c>
      <c r="C330" s="28" t="s">
        <v>297</v>
      </c>
      <c r="D330" s="28"/>
      <c r="E330" s="28">
        <v>20241025</v>
      </c>
      <c r="F330" s="28"/>
      <c r="G330" s="29" t="s">
        <v>283</v>
      </c>
      <c r="H330" s="28" t="s">
        <v>341</v>
      </c>
      <c r="I330" s="28" t="s">
        <v>133</v>
      </c>
      <c r="J330" s="28" t="s">
        <v>54</v>
      </c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28">
        <f t="shared" si="6"/>
        <v>0</v>
      </c>
      <c r="AN330" s="28"/>
    </row>
    <row r="331" spans="1:40">
      <c r="A331" s="28">
        <v>329</v>
      </c>
      <c r="B331" s="29">
        <v>132801</v>
      </c>
      <c r="C331" s="28" t="s">
        <v>370</v>
      </c>
      <c r="D331" s="28"/>
      <c r="E331" s="28">
        <v>20241104</v>
      </c>
      <c r="F331" s="28"/>
      <c r="G331" s="29" t="s">
        <v>283</v>
      </c>
      <c r="H331" s="28" t="s">
        <v>341</v>
      </c>
      <c r="I331" s="28" t="s">
        <v>133</v>
      </c>
      <c r="J331" s="28" t="s">
        <v>54</v>
      </c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28">
        <f t="shared" si="6"/>
        <v>0</v>
      </c>
      <c r="AN331" s="28"/>
    </row>
    <row r="332" spans="1:40">
      <c r="A332" s="28">
        <v>330</v>
      </c>
      <c r="B332" s="29">
        <v>500112</v>
      </c>
      <c r="C332" s="28" t="s">
        <v>421</v>
      </c>
      <c r="D332" s="28"/>
      <c r="E332" s="28">
        <v>20150721</v>
      </c>
      <c r="F332" s="28"/>
      <c r="G332" s="29" t="s">
        <v>283</v>
      </c>
      <c r="H332" s="28" t="s">
        <v>341</v>
      </c>
      <c r="I332" s="28" t="s">
        <v>133</v>
      </c>
      <c r="J332" s="28" t="s">
        <v>54</v>
      </c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28">
        <f t="shared" si="6"/>
        <v>0</v>
      </c>
      <c r="AN332" s="28"/>
    </row>
    <row r="333" spans="1:40">
      <c r="A333" s="28">
        <v>331</v>
      </c>
      <c r="B333" s="29">
        <v>501260</v>
      </c>
      <c r="C333" s="28" t="s">
        <v>422</v>
      </c>
      <c r="D333" s="28"/>
      <c r="E333" s="28">
        <v>20241205</v>
      </c>
      <c r="F333" s="28"/>
      <c r="G333" s="29" t="s">
        <v>283</v>
      </c>
      <c r="H333" s="28" t="s">
        <v>341</v>
      </c>
      <c r="I333" s="28" t="s">
        <v>133</v>
      </c>
      <c r="J333" s="28" t="s">
        <v>58</v>
      </c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28">
        <f t="shared" si="6"/>
        <v>0</v>
      </c>
      <c r="AN333" s="28"/>
    </row>
    <row r="334" spans="1:40">
      <c r="A334" s="28">
        <v>332</v>
      </c>
      <c r="B334" s="29">
        <v>501288</v>
      </c>
      <c r="C334" s="28" t="s">
        <v>423</v>
      </c>
      <c r="D334" s="28"/>
      <c r="E334" s="28">
        <v>20250610</v>
      </c>
      <c r="F334" s="28"/>
      <c r="G334" s="29" t="s">
        <v>283</v>
      </c>
      <c r="H334" s="28" t="s">
        <v>341</v>
      </c>
      <c r="I334" s="28" t="s">
        <v>133</v>
      </c>
      <c r="J334" s="28" t="s">
        <v>58</v>
      </c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28">
        <f t="shared" si="6"/>
        <v>0</v>
      </c>
      <c r="AN334" s="28"/>
    </row>
  </sheetData>
  <autoFilter ref="A2:AN334">
    <sortState ref="A4:AN4120">
      <sortCondition ref="H2"/>
    </sortState>
  </autoFilter>
  <mergeCells count="12">
    <mergeCell ref="AN1:AN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AM1:AM2"/>
  </mergeCells>
  <conditionalFormatting sqref="K2:AN334">
    <cfRule type="expression" dxfId="1" priority="1" stopIfTrue="1">
      <formula>TEXT(K$2,"ddd")="Sun"</formula>
    </cfRule>
    <cfRule type="expression" dxfId="0" priority="2" stopIfTrue="1">
      <formula>LEFT(K$2,3)="Hol"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Leave</vt:lpstr>
      <vt:lpstr>OT</vt:lpstr>
      <vt:lpstr>Late</vt:lpstr>
      <vt:lpstr>Night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Ingyin</dc:creator>
  <cp:lastModifiedBy>Htet Aung Hlaing</cp:lastModifiedBy>
  <dcterms:created xsi:type="dcterms:W3CDTF">2026-03-02T03:11:33Z</dcterms:created>
  <dcterms:modified xsi:type="dcterms:W3CDTF">2026-03-03T05:32:13Z</dcterms:modified>
</cp:coreProperties>
</file>